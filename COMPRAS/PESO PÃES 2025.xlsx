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cê\Desktop\COMPRAS\"/>
    </mc:Choice>
  </mc:AlternateContent>
  <xr:revisionPtr revIDLastSave="0" documentId="13_ncr:1_{69F13117-4733-4586-9457-2231442469B5}" xr6:coauthVersionLast="47" xr6:coauthVersionMax="47" xr10:uidLastSave="{00000000-0000-0000-0000-000000000000}"/>
  <bookViews>
    <workbookView xWindow="-120" yWindow="-120" windowWidth="20730" windowHeight="11160" firstSheet="18" activeTab="22" xr2:uid="{00000000-000D-0000-FFFF-FFFF00000000}"/>
  </bookViews>
  <sheets>
    <sheet name="SETEMBRO - 2024  (3)" sheetId="29" r:id="rId1"/>
    <sheet name="SETEMBRO - 2024  (2)" sheetId="27" r:id="rId2"/>
    <sheet name="MARÇO" sheetId="2" r:id="rId3"/>
    <sheet name="ABRIL" sheetId="1" r:id="rId4"/>
    <sheet name="MAIO" sheetId="3" r:id="rId5"/>
    <sheet name="JUNHO" sheetId="4" r:id="rId6"/>
    <sheet name="JULHO" sheetId="5" r:id="rId7"/>
    <sheet name="AGOSTO" sheetId="6" r:id="rId8"/>
    <sheet name="SETEMBRO" sheetId="7" r:id="rId9"/>
    <sheet name="OUTUBRO" sheetId="9" r:id="rId10"/>
    <sheet name="NOVEMBRO" sheetId="10" r:id="rId11"/>
    <sheet name="DEZEMBRO" sheetId="11" r:id="rId12"/>
    <sheet name="FEVEREIRO - 2024" sheetId="12" r:id="rId13"/>
    <sheet name="ABRIL - 2024" sheetId="14" r:id="rId14"/>
    <sheet name="JUNHO - 2024" sheetId="16" r:id="rId15"/>
    <sheet name="JULHO - 2024 " sheetId="18" r:id="rId16"/>
    <sheet name="AGOSTO - 2024 " sheetId="19" r:id="rId17"/>
    <sheet name="SETEMBRO - 2024 " sheetId="20" r:id="rId18"/>
    <sheet name="FEVEREIRO - 2025 " sheetId="21" r:id="rId19"/>
    <sheet name="ABRIL-  2025" sheetId="22" r:id="rId20"/>
    <sheet name="MAIO - 2025 " sheetId="26" r:id="rId21"/>
    <sheet name="JUNHO - 2025" sheetId="24" r:id="rId22"/>
    <sheet name="JULHO - 2025 " sheetId="32" r:id="rId23"/>
    <sheet name="AGOSTO - 2025 " sheetId="33" r:id="rId24"/>
    <sheet name="SETEMBRO - 2025 " sheetId="34" r:id="rId25"/>
    <sheet name="OUTUBRO - 2025" sheetId="35" r:id="rId26"/>
    <sheet name="NOVEMBRO - 2025" sheetId="25" r:id="rId27"/>
    <sheet name="Planilha6" sheetId="31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32" l="1"/>
  <c r="B36" i="32"/>
  <c r="H36" i="32"/>
  <c r="D32" i="32"/>
  <c r="K28" i="35"/>
  <c r="J28" i="35"/>
  <c r="I28" i="35"/>
  <c r="H28" i="35"/>
  <c r="H32" i="35" s="1"/>
  <c r="G28" i="35"/>
  <c r="F28" i="35"/>
  <c r="F32" i="35" s="1"/>
  <c r="E28" i="35"/>
  <c r="D28" i="35"/>
  <c r="C28" i="35"/>
  <c r="B28" i="35"/>
  <c r="B32" i="35" s="1"/>
  <c r="K32" i="35" s="1"/>
  <c r="K28" i="34"/>
  <c r="J28" i="34"/>
  <c r="I28" i="34"/>
  <c r="H28" i="34"/>
  <c r="H32" i="34" s="1"/>
  <c r="G28" i="34"/>
  <c r="F28" i="34"/>
  <c r="F32" i="34" s="1"/>
  <c r="E28" i="34"/>
  <c r="D28" i="34"/>
  <c r="C28" i="34"/>
  <c r="B28" i="34"/>
  <c r="B32" i="34" s="1"/>
  <c r="K32" i="34" s="1"/>
  <c r="K28" i="33"/>
  <c r="J28" i="33"/>
  <c r="I28" i="33"/>
  <c r="H28" i="33"/>
  <c r="H32" i="33" s="1"/>
  <c r="G28" i="33"/>
  <c r="F28" i="33"/>
  <c r="F32" i="33" s="1"/>
  <c r="E28" i="33"/>
  <c r="D28" i="33"/>
  <c r="C28" i="33"/>
  <c r="B28" i="33"/>
  <c r="B32" i="33" s="1"/>
  <c r="K32" i="33" s="1"/>
  <c r="K32" i="32"/>
  <c r="J32" i="32"/>
  <c r="I32" i="32"/>
  <c r="H32" i="32"/>
  <c r="G32" i="32"/>
  <c r="F32" i="32"/>
  <c r="E32" i="32"/>
  <c r="C32" i="32"/>
  <c r="B32" i="32"/>
  <c r="K28" i="25"/>
  <c r="J28" i="25"/>
  <c r="I28" i="25"/>
  <c r="H28" i="25"/>
  <c r="H32" i="25" s="1"/>
  <c r="G28" i="25"/>
  <c r="F28" i="25"/>
  <c r="F32" i="25" s="1"/>
  <c r="E28" i="25"/>
  <c r="D28" i="25"/>
  <c r="C28" i="25"/>
  <c r="B28" i="25"/>
  <c r="B32" i="25" s="1"/>
  <c r="K32" i="25" s="1"/>
  <c r="K28" i="24"/>
  <c r="J28" i="24"/>
  <c r="I28" i="24"/>
  <c r="H28" i="24"/>
  <c r="H32" i="24" s="1"/>
  <c r="G28" i="24"/>
  <c r="F28" i="24"/>
  <c r="F32" i="24" s="1"/>
  <c r="E28" i="24"/>
  <c r="D28" i="24"/>
  <c r="C28" i="24"/>
  <c r="B28" i="24"/>
  <c r="B32" i="24" s="1"/>
  <c r="K32" i="24" s="1"/>
  <c r="K28" i="29"/>
  <c r="J28" i="29"/>
  <c r="I28" i="29"/>
  <c r="H28" i="29"/>
  <c r="H32" i="29" s="1"/>
  <c r="G28" i="29"/>
  <c r="F28" i="29"/>
  <c r="F32" i="29" s="1"/>
  <c r="E28" i="29"/>
  <c r="D28" i="29"/>
  <c r="C28" i="29"/>
  <c r="B28" i="29"/>
  <c r="B32" i="29" s="1"/>
  <c r="K32" i="29" s="1"/>
  <c r="K28" i="27"/>
  <c r="J28" i="27"/>
  <c r="I28" i="27"/>
  <c r="H28" i="27"/>
  <c r="H32" i="27" s="1"/>
  <c r="G28" i="27"/>
  <c r="F28" i="27"/>
  <c r="F32" i="27" s="1"/>
  <c r="E28" i="27"/>
  <c r="D28" i="27"/>
  <c r="C28" i="27"/>
  <c r="B28" i="27"/>
  <c r="B32" i="27" s="1"/>
  <c r="K32" i="27" s="1"/>
  <c r="J28" i="26"/>
  <c r="I28" i="26"/>
  <c r="H28" i="26"/>
  <c r="G28" i="26"/>
  <c r="G32" i="26" s="1"/>
  <c r="F28" i="26"/>
  <c r="E28" i="26"/>
  <c r="E32" i="26" s="1"/>
  <c r="D28" i="26"/>
  <c r="C28" i="26"/>
  <c r="B28" i="26"/>
  <c r="A28" i="26"/>
  <c r="A32" i="26" s="1"/>
  <c r="J32" i="26" s="1"/>
  <c r="J28" i="22"/>
  <c r="I28" i="22"/>
  <c r="H28" i="22"/>
  <c r="G28" i="22"/>
  <c r="G32" i="22" s="1"/>
  <c r="F28" i="22"/>
  <c r="E28" i="22"/>
  <c r="E32" i="22" s="1"/>
  <c r="D28" i="22"/>
  <c r="C28" i="22"/>
  <c r="B28" i="22"/>
  <c r="A28" i="22"/>
  <c r="A32" i="22" s="1"/>
  <c r="J32" i="22" s="1"/>
  <c r="C28" i="21"/>
  <c r="D28" i="21"/>
  <c r="E28" i="21"/>
  <c r="F28" i="21"/>
  <c r="G28" i="21"/>
  <c r="H28" i="21"/>
  <c r="I28" i="21"/>
  <c r="J28" i="21"/>
  <c r="B28" i="21"/>
  <c r="A28" i="21"/>
  <c r="C41" i="21"/>
  <c r="D38" i="21"/>
  <c r="B41" i="21" s="1"/>
  <c r="G28" i="20"/>
  <c r="F28" i="20"/>
  <c r="K28" i="20"/>
  <c r="J28" i="20"/>
  <c r="I28" i="20"/>
  <c r="H28" i="20"/>
  <c r="E28" i="20"/>
  <c r="D28" i="20"/>
  <c r="C28" i="20"/>
  <c r="B28" i="20"/>
  <c r="G28" i="19"/>
  <c r="K28" i="19"/>
  <c r="J28" i="19"/>
  <c r="I28" i="19"/>
  <c r="H28" i="19"/>
  <c r="F28" i="19"/>
  <c r="E28" i="19"/>
  <c r="D28" i="19"/>
  <c r="C28" i="19"/>
  <c r="B28" i="19"/>
  <c r="K28" i="18"/>
  <c r="J28" i="18"/>
  <c r="I28" i="18"/>
  <c r="H28" i="18"/>
  <c r="H32" i="18" s="1"/>
  <c r="G28" i="18"/>
  <c r="F28" i="18"/>
  <c r="E28" i="18"/>
  <c r="D28" i="18"/>
  <c r="C28" i="18"/>
  <c r="B28" i="18"/>
  <c r="D28" i="16"/>
  <c r="J28" i="16"/>
  <c r="I28" i="16"/>
  <c r="H28" i="16"/>
  <c r="G28" i="16"/>
  <c r="F28" i="16"/>
  <c r="E28" i="16"/>
  <c r="C28" i="16"/>
  <c r="B28" i="16"/>
  <c r="K28" i="16"/>
  <c r="F28" i="14"/>
  <c r="E28" i="14"/>
  <c r="K28" i="14"/>
  <c r="J28" i="14"/>
  <c r="I28" i="14"/>
  <c r="H28" i="14"/>
  <c r="G28" i="14"/>
  <c r="D28" i="14"/>
  <c r="C28" i="14"/>
  <c r="B28" i="14"/>
  <c r="E28" i="12"/>
  <c r="K28" i="12"/>
  <c r="H28" i="12"/>
  <c r="G28" i="12"/>
  <c r="F28" i="12"/>
  <c r="D28" i="12"/>
  <c r="C28" i="12"/>
  <c r="B28" i="12"/>
  <c r="I28" i="12"/>
  <c r="J28" i="12"/>
  <c r="H9" i="11"/>
  <c r="H26" i="11" s="1"/>
  <c r="I4" i="11"/>
  <c r="I26" i="11" s="1"/>
  <c r="J26" i="11"/>
  <c r="G26" i="11"/>
  <c r="F26" i="11"/>
  <c r="E26" i="11"/>
  <c r="E30" i="11" s="1"/>
  <c r="D26" i="11"/>
  <c r="B26" i="11"/>
  <c r="C26" i="11"/>
  <c r="J26" i="10"/>
  <c r="G26" i="10"/>
  <c r="F26" i="10"/>
  <c r="E26" i="10"/>
  <c r="E30" i="10" s="1"/>
  <c r="D26" i="10"/>
  <c r="C26" i="10"/>
  <c r="B26" i="10"/>
  <c r="B30" i="10" s="1"/>
  <c r="I26" i="10"/>
  <c r="H26" i="10"/>
  <c r="I17" i="9"/>
  <c r="I23" i="9"/>
  <c r="I22" i="9"/>
  <c r="H4" i="9"/>
  <c r="H26" i="9" s="1"/>
  <c r="J26" i="9"/>
  <c r="G26" i="9"/>
  <c r="F26" i="9"/>
  <c r="E26" i="9"/>
  <c r="D26" i="9"/>
  <c r="C26" i="9"/>
  <c r="B26" i="9"/>
  <c r="I19" i="7"/>
  <c r="I14" i="7"/>
  <c r="I26" i="7" s="1"/>
  <c r="C8" i="7"/>
  <c r="C7" i="7"/>
  <c r="J26" i="7"/>
  <c r="H26" i="7"/>
  <c r="G26" i="7"/>
  <c r="F26" i="7"/>
  <c r="E26" i="7"/>
  <c r="D26" i="7"/>
  <c r="B26" i="7"/>
  <c r="H26" i="6"/>
  <c r="J26" i="6"/>
  <c r="I26" i="6"/>
  <c r="G26" i="6"/>
  <c r="F26" i="6"/>
  <c r="E26" i="6"/>
  <c r="D26" i="6"/>
  <c r="C26" i="6"/>
  <c r="B26" i="6"/>
  <c r="J25" i="5"/>
  <c r="I25" i="5"/>
  <c r="H25" i="5"/>
  <c r="G25" i="5"/>
  <c r="F25" i="5"/>
  <c r="E25" i="5"/>
  <c r="D25" i="5"/>
  <c r="C25" i="5"/>
  <c r="B25" i="5"/>
  <c r="J25" i="4"/>
  <c r="I25" i="4"/>
  <c r="H25" i="4"/>
  <c r="G25" i="4"/>
  <c r="F25" i="4"/>
  <c r="E25" i="4"/>
  <c r="D25" i="4"/>
  <c r="C25" i="4"/>
  <c r="B25" i="4"/>
  <c r="D36" i="3"/>
  <c r="J25" i="3"/>
  <c r="I25" i="3"/>
  <c r="H25" i="3"/>
  <c r="G25" i="3"/>
  <c r="F25" i="3"/>
  <c r="E25" i="3"/>
  <c r="D25" i="3"/>
  <c r="C25" i="3"/>
  <c r="B25" i="3"/>
  <c r="I25" i="2"/>
  <c r="H25" i="2"/>
  <c r="G25" i="2"/>
  <c r="F25" i="2"/>
  <c r="F29" i="2" s="1"/>
  <c r="E25" i="2"/>
  <c r="D25" i="2"/>
  <c r="D29" i="2" s="1"/>
  <c r="C25" i="2"/>
  <c r="B25" i="2"/>
  <c r="A25" i="2"/>
  <c r="A29" i="2" s="1"/>
  <c r="E26" i="1"/>
  <c r="B26" i="1"/>
  <c r="C26" i="1"/>
  <c r="D26" i="1"/>
  <c r="F26" i="1"/>
  <c r="G26" i="1"/>
  <c r="H26" i="1"/>
  <c r="I26" i="1"/>
  <c r="J26" i="1"/>
  <c r="F36" i="32" l="1"/>
  <c r="C26" i="7"/>
  <c r="G30" i="10"/>
  <c r="B30" i="11"/>
  <c r="G32" i="21"/>
  <c r="E32" i="21"/>
  <c r="A32" i="21"/>
  <c r="J32" i="21" s="1"/>
  <c r="H32" i="20"/>
  <c r="F32" i="20"/>
  <c r="B32" i="20"/>
  <c r="H32" i="19"/>
  <c r="F32" i="19"/>
  <c r="B32" i="19"/>
  <c r="F32" i="18"/>
  <c r="B32" i="18"/>
  <c r="H32" i="16"/>
  <c r="F32" i="16"/>
  <c r="B32" i="16"/>
  <c r="H32" i="14"/>
  <c r="F32" i="14"/>
  <c r="B32" i="14"/>
  <c r="F32" i="12"/>
  <c r="B32" i="12"/>
  <c r="H32" i="12"/>
  <c r="G30" i="11"/>
  <c r="J30" i="11" s="1"/>
  <c r="I26" i="9"/>
  <c r="G30" i="9" s="1"/>
  <c r="E30" i="9"/>
  <c r="B30" i="9"/>
  <c r="E30" i="7"/>
  <c r="B30" i="7"/>
  <c r="G30" i="7"/>
  <c r="E30" i="6"/>
  <c r="B30" i="6"/>
  <c r="G30" i="6"/>
  <c r="E29" i="5"/>
  <c r="B29" i="5"/>
  <c r="G29" i="5"/>
  <c r="G29" i="4"/>
  <c r="E29" i="4"/>
  <c r="B29" i="4"/>
  <c r="E29" i="3"/>
  <c r="H35" i="3" s="1"/>
  <c r="G29" i="3"/>
  <c r="B29" i="3"/>
  <c r="E30" i="1"/>
  <c r="G30" i="1"/>
  <c r="B30" i="1"/>
  <c r="K36" i="32" l="1"/>
  <c r="K32" i="20"/>
  <c r="K32" i="19"/>
  <c r="K32" i="18"/>
  <c r="K32" i="16"/>
  <c r="K32" i="14"/>
  <c r="K32" i="12"/>
  <c r="J30" i="9"/>
  <c r="D37" i="3"/>
  <c r="G34" i="3"/>
  <c r="J30" i="10"/>
</calcChain>
</file>

<file path=xl/sharedStrings.xml><?xml version="1.0" encoding="utf-8"?>
<sst xmlns="http://schemas.openxmlformats.org/spreadsheetml/2006/main" count="380" uniqueCount="43">
  <si>
    <t>STO ANT</t>
  </si>
  <si>
    <t>BELINHA</t>
  </si>
  <si>
    <t>MENÇ.</t>
  </si>
  <si>
    <t>MAÍSA</t>
  </si>
  <si>
    <t>MÔNICA</t>
  </si>
  <si>
    <t xml:space="preserve">MAREC. </t>
  </si>
  <si>
    <t>POLIANA</t>
  </si>
  <si>
    <t>ABC</t>
  </si>
  <si>
    <t>CRECHES</t>
  </si>
  <si>
    <t>PRÉ ESCOLAS</t>
  </si>
  <si>
    <t>ESCOLAS</t>
  </si>
  <si>
    <t>PESO DOS PÃES NEVES - MARÇO/2023</t>
  </si>
  <si>
    <t>PESO DOS PÃES NEVES - ABRIL/2023</t>
  </si>
  <si>
    <t>PESOS</t>
  </si>
  <si>
    <t>DATA</t>
  </si>
  <si>
    <t xml:space="preserve">                      </t>
  </si>
  <si>
    <t>FÉRIAS</t>
  </si>
  <si>
    <t>PESO DOS PÃES NEVES - MAIO/2023</t>
  </si>
  <si>
    <t>PESO DOS PÃES NEVES - JUNHO/2023</t>
  </si>
  <si>
    <t>PESO DOS PÃES NEVES - JULHO/2023</t>
  </si>
  <si>
    <t>PESO DOS PÃES NEVES - AGOSTO/2023</t>
  </si>
  <si>
    <t>PESO DOS PÃES NEVES - SETEMBRO/2023</t>
  </si>
  <si>
    <t>PESO DOS PÃES NEVES - OUTUBRO/2023</t>
  </si>
  <si>
    <t>PESO DOS PÃES NEVES - NOVEMBRO/2023</t>
  </si>
  <si>
    <t>PESO DOS PÃES NEVES - DEZEMBRO/2023</t>
  </si>
  <si>
    <t>ALICE</t>
  </si>
  <si>
    <t>PESO DOS PÃES NEVES - FEVEREIRO/2024</t>
  </si>
  <si>
    <t>-</t>
  </si>
  <si>
    <t xml:space="preserve"> 03/04/2024</t>
  </si>
  <si>
    <t>PESO DOS PÃES NEVES -JULHO/2024</t>
  </si>
  <si>
    <t>dia 10</t>
  </si>
  <si>
    <t>PESO DOS PÃES NEVES - SETEMBRO/2024</t>
  </si>
  <si>
    <t>PESO DOS PÃES NEVES - AGOSTO/2024</t>
  </si>
  <si>
    <t>PESO DOS PÃES NEVES - FEVEREIRO/2025</t>
  </si>
  <si>
    <t>PESO DOS PÃES NEVES - ABRIL/2025</t>
  </si>
  <si>
    <t>PESO DOS PÃES NEVES - MAIO/2025</t>
  </si>
  <si>
    <t>PESO DOS PÃES NEVES - JUNHO/2025</t>
  </si>
  <si>
    <t>PESO DOS PÃES NEVES - AGOSTO/2025</t>
  </si>
  <si>
    <t>PESO DOS PÃES NEVES - SETEMBRO/2025</t>
  </si>
  <si>
    <t>PESO DOS PÃES NEVES - OUTUBRO/2025</t>
  </si>
  <si>
    <t>PESO DOS PÃES NEVES - NOVEMBRO/2025</t>
  </si>
  <si>
    <t>PROJETO</t>
  </si>
  <si>
    <t>PESO DOS PÃES NEVES - JUNHO/JULHO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</si>
</sst>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$&quot;\ #,##0;[Red]\-&quot;R$&quot;\ #,##0"/>
    <numFmt numFmtId="8" formatCode="&quot;R$&quot;\ #,##0.00;[Red]\-&quot;R$&quot;\ #,##0.00"/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4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i/>
      <sz val="12"/>
      <name val="Calibri"/>
      <family val="2"/>
      <scheme val="minor"/>
    </font>
    <font>
      <sz val="12"/>
      <color rgb="FFFF0000"/>
      <name val="Cambria"/>
      <family val="1"/>
      <scheme val="major"/>
    </font>
    <font>
      <sz val="12"/>
      <name val="Cambria"/>
      <family val="1"/>
      <scheme val="major"/>
    </font>
    <font>
      <sz val="11"/>
      <color rgb="FFFF0000"/>
      <name val="Calibri"/>
      <family val="2"/>
      <scheme val="minor"/>
    </font>
    <font>
      <b/>
      <sz val="12"/>
      <color theme="1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3">
    <xf numFmtId="0" fontId="0" fillId="0" borderId="0" xfId="0"/>
    <xf numFmtId="164" fontId="2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top" wrapText="1"/>
    </xf>
    <xf numFmtId="164" fontId="2" fillId="0" borderId="17" xfId="0" applyNumberFormat="1" applyFont="1" applyBorder="1" applyAlignment="1">
      <alignment horizontal="center" vertical="top" wrapText="1"/>
    </xf>
    <xf numFmtId="164" fontId="2" fillId="0" borderId="16" xfId="0" applyNumberFormat="1" applyFont="1" applyBorder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164" fontId="2" fillId="0" borderId="18" xfId="0" applyNumberFormat="1" applyFont="1" applyBorder="1" applyAlignment="1">
      <alignment horizontal="center" vertical="top" wrapText="1"/>
    </xf>
    <xf numFmtId="164" fontId="2" fillId="0" borderId="19" xfId="0" applyNumberFormat="1" applyFont="1" applyBorder="1" applyAlignment="1">
      <alignment horizontal="center"/>
    </xf>
    <xf numFmtId="164" fontId="2" fillId="0" borderId="20" xfId="0" applyNumberFormat="1" applyFont="1" applyBorder="1" applyAlignment="1">
      <alignment horizontal="center" vertical="top" wrapText="1"/>
    </xf>
    <xf numFmtId="164" fontId="2" fillId="0" borderId="21" xfId="0" applyNumberFormat="1" applyFont="1" applyBorder="1" applyAlignment="1">
      <alignment horizontal="center"/>
    </xf>
    <xf numFmtId="164" fontId="2" fillId="0" borderId="22" xfId="0" applyNumberFormat="1" applyFont="1" applyBorder="1" applyAlignment="1">
      <alignment horizontal="center"/>
    </xf>
    <xf numFmtId="164" fontId="2" fillId="0" borderId="23" xfId="0" applyNumberFormat="1" applyFont="1" applyBorder="1" applyAlignment="1">
      <alignment horizontal="center"/>
    </xf>
    <xf numFmtId="0" fontId="0" fillId="0" borderId="3" xfId="0" applyBorder="1"/>
    <xf numFmtId="164" fontId="2" fillId="0" borderId="1" xfId="0" applyNumberFormat="1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top" wrapText="1"/>
    </xf>
    <xf numFmtId="14" fontId="0" fillId="0" borderId="28" xfId="0" applyNumberFormat="1" applyBorder="1"/>
    <xf numFmtId="14" fontId="0" fillId="0" borderId="29" xfId="0" applyNumberFormat="1" applyBorder="1"/>
    <xf numFmtId="0" fontId="0" fillId="0" borderId="29" xfId="0" applyBorder="1"/>
    <xf numFmtId="0" fontId="0" fillId="0" borderId="30" xfId="0" applyBorder="1"/>
    <xf numFmtId="164" fontId="7" fillId="0" borderId="32" xfId="0" applyNumberFormat="1" applyFont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/>
    </xf>
    <xf numFmtId="164" fontId="7" fillId="0" borderId="17" xfId="0" applyNumberFormat="1" applyFont="1" applyBorder="1" applyAlignment="1">
      <alignment horizontal="center" vertical="top" wrapText="1"/>
    </xf>
    <xf numFmtId="164" fontId="7" fillId="0" borderId="32" xfId="0" applyNumberFormat="1" applyFont="1" applyBorder="1" applyAlignment="1">
      <alignment horizontal="center"/>
    </xf>
    <xf numFmtId="164" fontId="7" fillId="0" borderId="17" xfId="0" applyNumberFormat="1" applyFont="1" applyBorder="1" applyAlignment="1">
      <alignment horizontal="center"/>
    </xf>
    <xf numFmtId="14" fontId="7" fillId="0" borderId="16" xfId="0" applyNumberFormat="1" applyFont="1" applyBorder="1" applyAlignment="1">
      <alignment horizontal="center"/>
    </xf>
    <xf numFmtId="14" fontId="7" fillId="4" borderId="34" xfId="0" applyNumberFormat="1" applyFont="1" applyFill="1" applyBorder="1" applyAlignment="1">
      <alignment horizontal="center"/>
    </xf>
    <xf numFmtId="164" fontId="7" fillId="4" borderId="31" xfId="0" applyNumberFormat="1" applyFont="1" applyFill="1" applyBorder="1" applyAlignment="1">
      <alignment horizontal="center" vertical="top" wrapText="1"/>
    </xf>
    <xf numFmtId="164" fontId="7" fillId="4" borderId="19" xfId="0" applyNumberFormat="1" applyFont="1" applyFill="1" applyBorder="1" applyAlignment="1">
      <alignment horizontal="center"/>
    </xf>
    <xf numFmtId="164" fontId="7" fillId="4" borderId="20" xfId="0" applyNumberFormat="1" applyFont="1" applyFill="1" applyBorder="1" applyAlignment="1">
      <alignment horizontal="center" vertical="top" wrapText="1"/>
    </xf>
    <xf numFmtId="14" fontId="7" fillId="4" borderId="16" xfId="0" applyNumberFormat="1" applyFont="1" applyFill="1" applyBorder="1" applyAlignment="1">
      <alignment horizontal="center"/>
    </xf>
    <xf numFmtId="164" fontId="7" fillId="4" borderId="32" xfId="0" applyNumberFormat="1" applyFont="1" applyFill="1" applyBorder="1" applyAlignment="1">
      <alignment horizontal="center" vertical="top" wrapText="1"/>
    </xf>
    <xf numFmtId="164" fontId="7" fillId="4" borderId="1" xfId="0" applyNumberFormat="1" applyFont="1" applyFill="1" applyBorder="1" applyAlignment="1">
      <alignment horizontal="center"/>
    </xf>
    <xf numFmtId="164" fontId="7" fillId="4" borderId="17" xfId="0" applyNumberFormat="1" applyFont="1" applyFill="1" applyBorder="1" applyAlignment="1">
      <alignment horizontal="center" vertical="top" wrapText="1"/>
    </xf>
    <xf numFmtId="164" fontId="7" fillId="4" borderId="32" xfId="0" applyNumberFormat="1" applyFont="1" applyFill="1" applyBorder="1" applyAlignment="1">
      <alignment horizontal="center"/>
    </xf>
    <xf numFmtId="164" fontId="7" fillId="4" borderId="17" xfId="0" applyNumberFormat="1" applyFont="1" applyFill="1" applyBorder="1" applyAlignment="1">
      <alignment horizontal="center"/>
    </xf>
    <xf numFmtId="14" fontId="7" fillId="4" borderId="21" xfId="0" applyNumberFormat="1" applyFont="1" applyFill="1" applyBorder="1" applyAlignment="1">
      <alignment horizontal="center"/>
    </xf>
    <xf numFmtId="164" fontId="7" fillId="4" borderId="33" xfId="0" applyNumberFormat="1" applyFont="1" applyFill="1" applyBorder="1" applyAlignment="1">
      <alignment horizontal="center"/>
    </xf>
    <xf numFmtId="164" fontId="7" fillId="4" borderId="22" xfId="0" applyNumberFormat="1" applyFont="1" applyFill="1" applyBorder="1" applyAlignment="1">
      <alignment horizontal="center"/>
    </xf>
    <xf numFmtId="164" fontId="7" fillId="4" borderId="23" xfId="0" applyNumberFormat="1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164" fontId="0" fillId="0" borderId="0" xfId="0" applyNumberFormat="1"/>
    <xf numFmtId="164" fontId="10" fillId="0" borderId="0" xfId="0" applyNumberFormat="1" applyFont="1"/>
    <xf numFmtId="14" fontId="11" fillId="0" borderId="16" xfId="0" applyNumberFormat="1" applyFont="1" applyBorder="1" applyAlignment="1">
      <alignment horizontal="center"/>
    </xf>
    <xf numFmtId="164" fontId="11" fillId="0" borderId="32" xfId="0" applyNumberFormat="1" applyFont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164" fontId="11" fillId="0" borderId="17" xfId="0" applyNumberFormat="1" applyFont="1" applyBorder="1" applyAlignment="1">
      <alignment horizontal="center"/>
    </xf>
    <xf numFmtId="14" fontId="11" fillId="4" borderId="16" xfId="0" applyNumberFormat="1" applyFont="1" applyFill="1" applyBorder="1" applyAlignment="1">
      <alignment horizontal="center"/>
    </xf>
    <xf numFmtId="164" fontId="11" fillId="4" borderId="32" xfId="0" applyNumberFormat="1" applyFont="1" applyFill="1" applyBorder="1" applyAlignment="1">
      <alignment horizontal="center"/>
    </xf>
    <xf numFmtId="164" fontId="11" fillId="4" borderId="1" xfId="0" applyNumberFormat="1" applyFont="1" applyFill="1" applyBorder="1" applyAlignment="1">
      <alignment horizontal="center"/>
    </xf>
    <xf numFmtId="164" fontId="11" fillId="4" borderId="17" xfId="0" applyNumberFormat="1" applyFont="1" applyFill="1" applyBorder="1" applyAlignment="1">
      <alignment horizontal="center"/>
    </xf>
    <xf numFmtId="164" fontId="12" fillId="4" borderId="32" xfId="0" applyNumberFormat="1" applyFont="1" applyFill="1" applyBorder="1" applyAlignment="1">
      <alignment horizontal="center"/>
    </xf>
    <xf numFmtId="164" fontId="12" fillId="4" borderId="1" xfId="0" applyNumberFormat="1" applyFont="1" applyFill="1" applyBorder="1" applyAlignment="1">
      <alignment horizontal="center"/>
    </xf>
    <xf numFmtId="164" fontId="12" fillId="4" borderId="17" xfId="0" applyNumberFormat="1" applyFont="1" applyFill="1" applyBorder="1" applyAlignment="1">
      <alignment horizontal="center"/>
    </xf>
    <xf numFmtId="14" fontId="7" fillId="5" borderId="34" xfId="0" applyNumberFormat="1" applyFont="1" applyFill="1" applyBorder="1" applyAlignment="1">
      <alignment horizontal="center"/>
    </xf>
    <xf numFmtId="164" fontId="7" fillId="5" borderId="32" xfId="0" applyNumberFormat="1" applyFont="1" applyFill="1" applyBorder="1" applyAlignment="1">
      <alignment horizontal="center" vertical="top" wrapText="1"/>
    </xf>
    <xf numFmtId="164" fontId="7" fillId="5" borderId="1" xfId="0" applyNumberFormat="1" applyFont="1" applyFill="1" applyBorder="1" applyAlignment="1">
      <alignment horizontal="center"/>
    </xf>
    <xf numFmtId="164" fontId="7" fillId="5" borderId="17" xfId="0" applyNumberFormat="1" applyFont="1" applyFill="1" applyBorder="1" applyAlignment="1">
      <alignment horizontal="center" vertical="top" wrapText="1"/>
    </xf>
    <xf numFmtId="164" fontId="7" fillId="5" borderId="32" xfId="0" applyNumberFormat="1" applyFont="1" applyFill="1" applyBorder="1" applyAlignment="1">
      <alignment horizontal="center"/>
    </xf>
    <xf numFmtId="164" fontId="7" fillId="5" borderId="17" xfId="0" applyNumberFormat="1" applyFont="1" applyFill="1" applyBorder="1" applyAlignment="1">
      <alignment horizontal="center"/>
    </xf>
    <xf numFmtId="0" fontId="0" fillId="5" borderId="0" xfId="0" applyFill="1"/>
    <xf numFmtId="14" fontId="7" fillId="5" borderId="16" xfId="0" applyNumberFormat="1" applyFont="1" applyFill="1" applyBorder="1" applyAlignment="1">
      <alignment horizontal="center"/>
    </xf>
    <xf numFmtId="164" fontId="12" fillId="5" borderId="32" xfId="0" applyNumberFormat="1" applyFont="1" applyFill="1" applyBorder="1" applyAlignment="1">
      <alignment horizontal="center"/>
    </xf>
    <xf numFmtId="164" fontId="12" fillId="5" borderId="1" xfId="0" applyNumberFormat="1" applyFont="1" applyFill="1" applyBorder="1" applyAlignment="1">
      <alignment horizontal="center"/>
    </xf>
    <xf numFmtId="164" fontId="12" fillId="5" borderId="17" xfId="0" applyNumberFormat="1" applyFont="1" applyFill="1" applyBorder="1" applyAlignment="1">
      <alignment horizontal="center"/>
    </xf>
    <xf numFmtId="164" fontId="12" fillId="5" borderId="33" xfId="0" applyNumberFormat="1" applyFont="1" applyFill="1" applyBorder="1" applyAlignment="1">
      <alignment horizontal="center"/>
    </xf>
    <xf numFmtId="164" fontId="12" fillId="5" borderId="22" xfId="0" applyNumberFormat="1" applyFont="1" applyFill="1" applyBorder="1" applyAlignment="1">
      <alignment horizontal="center"/>
    </xf>
    <xf numFmtId="164" fontId="12" fillId="5" borderId="23" xfId="0" applyNumberFormat="1" applyFont="1" applyFill="1" applyBorder="1" applyAlignment="1">
      <alignment horizontal="center"/>
    </xf>
    <xf numFmtId="164" fontId="11" fillId="0" borderId="17" xfId="0" applyNumberFormat="1" applyFont="1" applyBorder="1" applyAlignment="1">
      <alignment horizontal="center" vertical="top" wrapText="1"/>
    </xf>
    <xf numFmtId="0" fontId="13" fillId="0" borderId="0" xfId="0" applyFont="1"/>
    <xf numFmtId="164" fontId="11" fillId="5" borderId="17" xfId="0" applyNumberFormat="1" applyFont="1" applyFill="1" applyBorder="1" applyAlignment="1">
      <alignment horizontal="center"/>
    </xf>
    <xf numFmtId="0" fontId="13" fillId="5" borderId="0" xfId="0" applyFont="1" applyFill="1"/>
    <xf numFmtId="164" fontId="7" fillId="0" borderId="1" xfId="0" applyNumberFormat="1" applyFont="1" applyBorder="1" applyAlignment="1">
      <alignment horizontal="center" vertical="top" wrapText="1"/>
    </xf>
    <xf numFmtId="164" fontId="7" fillId="4" borderId="1" xfId="0" applyNumberFormat="1" applyFont="1" applyFill="1" applyBorder="1" applyAlignment="1">
      <alignment horizontal="center" vertical="top" wrapText="1"/>
    </xf>
    <xf numFmtId="14" fontId="7" fillId="4" borderId="18" xfId="0" applyNumberFormat="1" applyFont="1" applyFill="1" applyBorder="1" applyAlignment="1">
      <alignment horizontal="center"/>
    </xf>
    <xf numFmtId="14" fontId="7" fillId="5" borderId="35" xfId="0" applyNumberFormat="1" applyFont="1" applyFill="1" applyBorder="1" applyAlignment="1">
      <alignment horizontal="center"/>
    </xf>
    <xf numFmtId="14" fontId="7" fillId="5" borderId="18" xfId="0" applyNumberFormat="1" applyFont="1" applyFill="1" applyBorder="1" applyAlignment="1">
      <alignment horizontal="center"/>
    </xf>
    <xf numFmtId="6" fontId="0" fillId="0" borderId="0" xfId="0" applyNumberFormat="1"/>
    <xf numFmtId="8" fontId="0" fillId="0" borderId="0" xfId="0" applyNumberFormat="1"/>
    <xf numFmtId="164" fontId="14" fillId="4" borderId="32" xfId="0" applyNumberFormat="1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 vertical="center"/>
    </xf>
    <xf numFmtId="0" fontId="9" fillId="3" borderId="5" xfId="0" applyFont="1" applyFill="1" applyBorder="1"/>
    <xf numFmtId="0" fontId="9" fillId="3" borderId="15" xfId="0" applyFont="1" applyFill="1" applyBorder="1"/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164" fontId="4" fillId="0" borderId="10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0" fillId="0" borderId="2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7" fillId="5" borderId="36" xfId="0" applyNumberFormat="1" applyFont="1" applyFill="1" applyBorder="1" applyAlignment="1">
      <alignment horizontal="center"/>
    </xf>
    <xf numFmtId="164" fontId="12" fillId="5" borderId="37" xfId="0" applyNumberFormat="1" applyFont="1" applyFill="1" applyBorder="1" applyAlignment="1">
      <alignment horizontal="center"/>
    </xf>
    <xf numFmtId="164" fontId="12" fillId="5" borderId="38" xfId="0" applyNumberFormat="1" applyFont="1" applyFill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14" fontId="7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5E11-EBDD-42EC-B823-6D9F641B46C7}">
  <dimension ref="A1:AM40"/>
  <sheetViews>
    <sheetView zoomScale="118" zoomScaleNormal="118" workbookViewId="0">
      <selection activeCell="F27" sqref="F27"/>
    </sheetView>
  </sheetViews>
  <sheetFormatPr defaultColWidth="10.7109375" defaultRowHeight="15" x14ac:dyDescent="0.25"/>
  <cols>
    <col min="1" max="1" width="15.140625" customWidth="1"/>
    <col min="2" max="2" width="12" bestFit="1" customWidth="1"/>
  </cols>
  <sheetData>
    <row r="1" spans="1:39" ht="33" customHeight="1" thickBot="1" x14ac:dyDescent="0.3">
      <c r="A1" s="44" t="s">
        <v>14</v>
      </c>
      <c r="B1" s="84" t="s">
        <v>31</v>
      </c>
      <c r="C1" s="85"/>
      <c r="D1" s="85"/>
      <c r="E1" s="85"/>
      <c r="F1" s="85"/>
      <c r="G1" s="85"/>
      <c r="H1" s="85"/>
      <c r="I1" s="85"/>
      <c r="J1" s="85"/>
      <c r="K1" s="86"/>
    </row>
    <row r="2" spans="1:39" ht="16.5" thickBot="1" x14ac:dyDescent="0.3">
      <c r="A2" s="78">
        <v>45537</v>
      </c>
      <c r="B2" s="31"/>
      <c r="C2" s="32"/>
      <c r="D2" s="32"/>
      <c r="E2" s="32"/>
      <c r="F2" s="32"/>
      <c r="G2" s="32"/>
      <c r="H2" s="32"/>
      <c r="I2" s="32"/>
      <c r="J2" s="32"/>
      <c r="K2" s="33"/>
    </row>
    <row r="3" spans="1:39" ht="16.5" thickBot="1" x14ac:dyDescent="0.3">
      <c r="A3" s="80">
        <v>45538</v>
      </c>
      <c r="B3" s="76"/>
      <c r="C3" s="25"/>
      <c r="D3" s="25"/>
      <c r="E3" s="25"/>
      <c r="F3" s="25"/>
      <c r="G3" s="25"/>
      <c r="H3" s="25"/>
      <c r="I3" s="25"/>
      <c r="J3" s="25"/>
      <c r="K3" s="26"/>
    </row>
    <row r="4" spans="1:39" ht="16.5" thickBot="1" x14ac:dyDescent="0.3">
      <c r="A4" s="78">
        <v>45539</v>
      </c>
      <c r="B4" s="77"/>
      <c r="C4" s="36"/>
      <c r="D4" s="36"/>
      <c r="E4" s="36"/>
      <c r="F4" s="36"/>
      <c r="G4" s="36"/>
      <c r="H4" s="36"/>
      <c r="I4" s="36"/>
      <c r="J4" s="36"/>
      <c r="K4" s="37"/>
    </row>
    <row r="5" spans="1:39" ht="16.5" thickBot="1" x14ac:dyDescent="0.3">
      <c r="A5" s="80">
        <v>45540</v>
      </c>
      <c r="B5" s="76"/>
      <c r="C5" s="25"/>
      <c r="D5" s="25"/>
      <c r="E5" s="25"/>
      <c r="F5" s="25"/>
      <c r="G5" s="25"/>
      <c r="H5" s="25"/>
      <c r="I5" s="25"/>
      <c r="J5" s="25"/>
      <c r="K5" s="26"/>
    </row>
    <row r="6" spans="1:39" ht="16.5" thickBot="1" x14ac:dyDescent="0.3">
      <c r="A6" s="78">
        <v>45541</v>
      </c>
      <c r="B6" s="35"/>
      <c r="C6" s="36"/>
      <c r="D6" s="36"/>
      <c r="E6" s="36"/>
      <c r="F6" s="36"/>
      <c r="G6" s="36"/>
      <c r="H6" s="36"/>
      <c r="I6" s="36"/>
      <c r="J6" s="36"/>
      <c r="K6" s="37"/>
    </row>
    <row r="7" spans="1:39" ht="16.5" thickBot="1" x14ac:dyDescent="0.3">
      <c r="A7" s="80">
        <v>45544</v>
      </c>
      <c r="B7" s="59"/>
      <c r="C7" s="60"/>
      <c r="D7" s="60"/>
      <c r="E7" s="60"/>
      <c r="F7" s="60"/>
      <c r="G7" s="60"/>
      <c r="H7" s="60"/>
      <c r="I7" s="60"/>
      <c r="J7" s="60"/>
      <c r="K7" s="61"/>
    </row>
    <row r="8" spans="1:39" ht="16.5" thickBot="1" x14ac:dyDescent="0.3">
      <c r="A8" s="78">
        <v>45545</v>
      </c>
      <c r="B8" s="38"/>
      <c r="C8" s="36"/>
      <c r="D8" s="36"/>
      <c r="E8" s="36"/>
      <c r="F8" s="36"/>
      <c r="G8" s="36"/>
      <c r="H8" s="36"/>
      <c r="I8" s="36"/>
      <c r="J8" s="36"/>
      <c r="K8" s="39"/>
    </row>
    <row r="9" spans="1:39" ht="16.5" thickBot="1" x14ac:dyDescent="0.3">
      <c r="A9" s="80">
        <v>45546</v>
      </c>
      <c r="B9" s="62">
        <v>1.5249999999999999</v>
      </c>
      <c r="C9" s="60">
        <v>3.0249999999999999</v>
      </c>
      <c r="D9" s="60">
        <v>3.4750000000000001</v>
      </c>
      <c r="E9" s="60">
        <v>1.87</v>
      </c>
      <c r="F9" s="60"/>
      <c r="G9" s="60"/>
      <c r="H9" s="60">
        <v>0.78500000000000003</v>
      </c>
      <c r="I9" s="60">
        <v>1.4850000000000001</v>
      </c>
      <c r="J9" s="60">
        <v>2.37</v>
      </c>
      <c r="K9" s="63"/>
    </row>
    <row r="10" spans="1:39" ht="16.5" thickBot="1" x14ac:dyDescent="0.3">
      <c r="A10" s="78">
        <v>45547</v>
      </c>
      <c r="B10" s="38">
        <v>0.58499999999999996</v>
      </c>
      <c r="C10" s="36">
        <v>1.115</v>
      </c>
      <c r="D10" s="36">
        <v>1.375</v>
      </c>
      <c r="E10" s="36">
        <v>1.165</v>
      </c>
      <c r="F10" s="36">
        <v>1.0249999999999999</v>
      </c>
      <c r="G10" s="36">
        <v>1.7450000000000001</v>
      </c>
      <c r="H10" s="36"/>
      <c r="I10" s="36"/>
      <c r="J10" s="36"/>
      <c r="K10" s="39"/>
    </row>
    <row r="11" spans="1:39" ht="16.5" thickBot="1" x14ac:dyDescent="0.3">
      <c r="A11" s="80">
        <v>45548</v>
      </c>
      <c r="B11" s="62">
        <v>1.5149999999999999</v>
      </c>
      <c r="C11" s="60">
        <v>3.0249999999999999</v>
      </c>
      <c r="D11" s="60">
        <v>3.46</v>
      </c>
      <c r="E11" s="60">
        <v>1.88</v>
      </c>
      <c r="F11" s="60"/>
      <c r="G11" s="60"/>
      <c r="H11" s="60"/>
      <c r="I11" s="60"/>
      <c r="J11" s="60"/>
      <c r="K11" s="63"/>
    </row>
    <row r="12" spans="1:39" ht="16.5" thickBot="1" x14ac:dyDescent="0.3">
      <c r="A12" s="78">
        <v>45551</v>
      </c>
      <c r="B12" s="38">
        <v>1.52</v>
      </c>
      <c r="C12" s="36">
        <v>3.04</v>
      </c>
      <c r="D12" s="36">
        <v>3.45</v>
      </c>
      <c r="E12" s="36">
        <v>1.89</v>
      </c>
      <c r="F12" s="36">
        <v>2.5449999999999999</v>
      </c>
      <c r="G12" s="36">
        <v>2.5499999999999998</v>
      </c>
      <c r="H12" s="36">
        <v>1.53</v>
      </c>
      <c r="I12" s="36">
        <v>6.02</v>
      </c>
      <c r="J12" s="36">
        <v>6.03</v>
      </c>
      <c r="K12" s="39"/>
    </row>
    <row r="13" spans="1:39" s="64" customFormat="1" ht="16.5" thickBot="1" x14ac:dyDescent="0.3">
      <c r="A13" s="80">
        <v>45552</v>
      </c>
      <c r="B13" s="62">
        <v>1.54</v>
      </c>
      <c r="C13" s="60">
        <v>3.0449999999999999</v>
      </c>
      <c r="D13" s="60">
        <v>3.46</v>
      </c>
      <c r="E13" s="60">
        <v>1.93</v>
      </c>
      <c r="F13" s="60"/>
      <c r="G13" s="60"/>
      <c r="H13" s="60"/>
      <c r="I13" s="60"/>
      <c r="J13" s="60"/>
      <c r="K13" s="6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ht="16.5" thickBot="1" x14ac:dyDescent="0.3">
      <c r="A14" s="78">
        <v>45553</v>
      </c>
      <c r="B14" s="38">
        <v>1.52</v>
      </c>
      <c r="C14" s="36">
        <v>3.05</v>
      </c>
      <c r="D14" s="36">
        <v>3.66</v>
      </c>
      <c r="E14" s="36">
        <v>1.88</v>
      </c>
      <c r="F14" s="36">
        <v>2.54</v>
      </c>
      <c r="G14" s="36">
        <v>2.5299999999999998</v>
      </c>
      <c r="H14" s="36">
        <v>1.54</v>
      </c>
      <c r="I14" s="36">
        <v>6.04</v>
      </c>
      <c r="J14" s="36">
        <v>6.0250000000000004</v>
      </c>
      <c r="K14" s="39"/>
    </row>
    <row r="15" spans="1:39" s="64" customFormat="1" ht="16.5" thickBot="1" x14ac:dyDescent="0.3">
      <c r="A15" s="80">
        <v>45554</v>
      </c>
      <c r="B15" s="62">
        <v>0.65</v>
      </c>
      <c r="C15" s="60">
        <v>1.25</v>
      </c>
      <c r="D15" s="60">
        <v>1.5</v>
      </c>
      <c r="E15" s="60">
        <v>1.1499999999999999</v>
      </c>
      <c r="F15" s="60">
        <v>1.1599999999999999</v>
      </c>
      <c r="G15" s="60">
        <v>1.18</v>
      </c>
      <c r="H15" s="60">
        <v>0.87</v>
      </c>
      <c r="I15" s="60">
        <v>5.55</v>
      </c>
      <c r="J15" s="60">
        <v>2.4049999999999998</v>
      </c>
      <c r="K15" s="63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ht="16.5" thickBot="1" x14ac:dyDescent="0.3">
      <c r="A16" s="78">
        <v>45555</v>
      </c>
      <c r="B16" s="55">
        <v>1.5</v>
      </c>
      <c r="C16" s="56">
        <v>3.1</v>
      </c>
      <c r="D16" s="56">
        <v>3.63</v>
      </c>
      <c r="E16" s="56">
        <v>1.86</v>
      </c>
      <c r="F16" s="56"/>
      <c r="G16" s="56"/>
      <c r="H16" s="56">
        <v>1.5249999999999999</v>
      </c>
      <c r="I16" s="56"/>
      <c r="J16" s="56">
        <v>6.09</v>
      </c>
      <c r="K16" s="57"/>
    </row>
    <row r="17" spans="1:39" s="64" customFormat="1" ht="15.75" x14ac:dyDescent="0.25">
      <c r="A17" s="80">
        <v>45558</v>
      </c>
      <c r="B17" s="66">
        <v>1.54</v>
      </c>
      <c r="C17" s="67">
        <v>3.09</v>
      </c>
      <c r="D17" s="67">
        <v>3.65</v>
      </c>
      <c r="E17" s="67">
        <v>1.855</v>
      </c>
      <c r="F17" s="67">
        <v>2.57</v>
      </c>
      <c r="G17" s="67">
        <v>2.54</v>
      </c>
      <c r="H17" s="67">
        <v>1.54</v>
      </c>
      <c r="I17" s="67">
        <v>6.06</v>
      </c>
      <c r="J17" s="67">
        <v>6.0350000000000001</v>
      </c>
      <c r="K17" s="68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ht="15.75" x14ac:dyDescent="0.25">
      <c r="A18" s="30">
        <v>45559</v>
      </c>
      <c r="B18" s="55">
        <v>1.5249999999999999</v>
      </c>
      <c r="C18" s="56">
        <v>3.05</v>
      </c>
      <c r="D18" s="56">
        <v>3.64</v>
      </c>
      <c r="E18" s="56">
        <v>1.89</v>
      </c>
      <c r="F18" s="56"/>
      <c r="G18" s="56"/>
      <c r="H18" s="56"/>
      <c r="I18" s="56"/>
      <c r="J18" s="56"/>
      <c r="K18" s="57"/>
    </row>
    <row r="19" spans="1:39" s="64" customFormat="1" ht="15.75" x14ac:dyDescent="0.25">
      <c r="A19" s="29">
        <v>45560</v>
      </c>
      <c r="B19" s="66">
        <v>1.53</v>
      </c>
      <c r="C19" s="67">
        <v>3.09</v>
      </c>
      <c r="D19" s="67">
        <v>3.7050000000000001</v>
      </c>
      <c r="E19" s="67">
        <v>1.905</v>
      </c>
      <c r="F19" s="67">
        <v>2.59</v>
      </c>
      <c r="G19" s="67">
        <v>2.58</v>
      </c>
      <c r="H19" s="67">
        <v>1.55</v>
      </c>
      <c r="I19" s="67">
        <v>6.08</v>
      </c>
      <c r="J19" s="67">
        <v>6.09</v>
      </c>
      <c r="K19" s="68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ht="15.75" x14ac:dyDescent="0.25">
      <c r="A20" s="30">
        <v>45561</v>
      </c>
      <c r="B20" s="55">
        <v>0.6</v>
      </c>
      <c r="C20" s="56">
        <v>3.04</v>
      </c>
      <c r="D20" s="56">
        <v>1.46</v>
      </c>
      <c r="E20" s="56">
        <v>1.175</v>
      </c>
      <c r="F20" s="56"/>
      <c r="G20" s="56"/>
      <c r="H20" s="56">
        <v>0.92500000000000004</v>
      </c>
      <c r="I20" s="56">
        <v>1.6</v>
      </c>
      <c r="J20" s="56">
        <v>2.38</v>
      </c>
      <c r="K20" s="57"/>
    </row>
    <row r="21" spans="1:39" s="64" customFormat="1" ht="15.75" x14ac:dyDescent="0.25">
      <c r="A21" s="29">
        <v>45562</v>
      </c>
      <c r="B21" s="66">
        <v>1.49</v>
      </c>
      <c r="C21" s="67">
        <v>3.0249999999999999</v>
      </c>
      <c r="D21" s="67">
        <v>3.33</v>
      </c>
      <c r="E21" s="67">
        <v>1.86</v>
      </c>
      <c r="F21" s="67"/>
      <c r="G21" s="67"/>
      <c r="H21" s="67"/>
      <c r="I21" s="67"/>
      <c r="J21" s="67"/>
      <c r="K21" s="68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ht="15.75" x14ac:dyDescent="0.25">
      <c r="A22" s="30">
        <v>45565</v>
      </c>
      <c r="B22" s="55">
        <v>1.56</v>
      </c>
      <c r="C22" s="56">
        <v>3.06</v>
      </c>
      <c r="D22" s="56">
        <v>3.6</v>
      </c>
      <c r="E22" s="56">
        <v>1.9450000000000001</v>
      </c>
      <c r="F22" s="56">
        <v>2.56</v>
      </c>
      <c r="G22" s="56">
        <v>2.5449999999999999</v>
      </c>
      <c r="H22" s="56">
        <v>1.58</v>
      </c>
      <c r="I22" s="56">
        <v>6.05</v>
      </c>
      <c r="J22" s="56">
        <v>6.08</v>
      </c>
      <c r="K22" s="57"/>
    </row>
    <row r="23" spans="1:39" s="64" customFormat="1" ht="15.75" x14ac:dyDescent="0.25">
      <c r="A23" s="29"/>
      <c r="B23" s="66">
        <v>1.56</v>
      </c>
      <c r="C23" s="67"/>
      <c r="D23" s="67"/>
      <c r="E23" s="67">
        <v>1.88</v>
      </c>
      <c r="F23" s="67"/>
      <c r="G23" s="67"/>
      <c r="H23" s="67"/>
      <c r="I23" s="67"/>
      <c r="J23" s="67"/>
      <c r="K23" s="68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ht="15.75" x14ac:dyDescent="0.25">
      <c r="A24" s="30"/>
      <c r="B24" s="55"/>
      <c r="C24" s="56"/>
      <c r="D24" s="56"/>
      <c r="E24" s="56"/>
      <c r="F24" s="56"/>
      <c r="G24" s="56"/>
      <c r="H24" s="56"/>
      <c r="I24" s="56"/>
      <c r="J24" s="56"/>
      <c r="K24" s="57"/>
    </row>
    <row r="25" spans="1:39" s="64" customFormat="1" ht="15.75" x14ac:dyDescent="0.25">
      <c r="A25" s="29"/>
      <c r="B25" s="66"/>
      <c r="C25" s="67"/>
      <c r="D25" s="67"/>
      <c r="E25" s="67"/>
      <c r="F25" s="67"/>
      <c r="G25" s="67"/>
      <c r="H25" s="67"/>
      <c r="I25" s="67"/>
      <c r="J25" s="67"/>
      <c r="K25" s="68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ht="15.75" x14ac:dyDescent="0.25">
      <c r="A26" s="30"/>
      <c r="B26" s="55"/>
      <c r="C26" s="56"/>
      <c r="D26" s="56"/>
      <c r="E26" s="56"/>
      <c r="F26" s="56"/>
      <c r="G26" s="56"/>
      <c r="H26" s="56"/>
      <c r="I26" s="56"/>
      <c r="J26" s="56"/>
      <c r="K26" s="57"/>
    </row>
    <row r="27" spans="1:39" s="64" customFormat="1" ht="16.5" thickBot="1" x14ac:dyDescent="0.3">
      <c r="A27" s="79"/>
      <c r="B27" s="69"/>
      <c r="C27" s="70"/>
      <c r="D27" s="70"/>
      <c r="E27" s="70"/>
      <c r="F27" s="70"/>
      <c r="G27" s="70"/>
      <c r="H27" s="70"/>
      <c r="I27" s="70"/>
      <c r="J27" s="70"/>
      <c r="K27" s="71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ht="19.5" thickBot="1" x14ac:dyDescent="0.3">
      <c r="B28" s="5">
        <f t="shared" ref="B28:J28" si="0">SUM(B2:B27)</f>
        <v>20.159999999999997</v>
      </c>
      <c r="C28" s="5">
        <f t="shared" si="0"/>
        <v>39.005000000000003</v>
      </c>
      <c r="D28" s="5">
        <f t="shared" si="0"/>
        <v>43.394999999999996</v>
      </c>
      <c r="E28" s="5">
        <f t="shared" si="0"/>
        <v>26.134999999999998</v>
      </c>
      <c r="F28" s="5">
        <f>SUM(F2:F27)</f>
        <v>14.99</v>
      </c>
      <c r="G28" s="5">
        <f>SUM(G2:G27)</f>
        <v>15.669999999999998</v>
      </c>
      <c r="H28" s="5">
        <f t="shared" si="0"/>
        <v>11.845000000000001</v>
      </c>
      <c r="I28" s="5">
        <f t="shared" si="0"/>
        <v>38.884999999999998</v>
      </c>
      <c r="J28" s="5">
        <f t="shared" si="0"/>
        <v>43.505000000000003</v>
      </c>
      <c r="K28" s="5">
        <f t="shared" ref="K28" si="1">SUM(K4:K27)</f>
        <v>0</v>
      </c>
    </row>
    <row r="29" spans="1:39" ht="15.75" thickBot="1" x14ac:dyDescent="0.3">
      <c r="B29" s="2" t="s">
        <v>0</v>
      </c>
      <c r="C29" s="3" t="s">
        <v>1</v>
      </c>
      <c r="D29" s="2" t="s">
        <v>2</v>
      </c>
      <c r="E29" s="2" t="s">
        <v>25</v>
      </c>
      <c r="F29" s="4" t="s">
        <v>3</v>
      </c>
      <c r="G29" s="2" t="s">
        <v>4</v>
      </c>
      <c r="H29" s="4" t="s">
        <v>5</v>
      </c>
      <c r="I29" s="2" t="s">
        <v>6</v>
      </c>
      <c r="J29" s="4" t="s">
        <v>7</v>
      </c>
      <c r="K29" s="2"/>
    </row>
    <row r="30" spans="1:39" ht="15.75" thickBot="1" x14ac:dyDescent="0.3"/>
    <row r="31" spans="1:39" ht="18.75" x14ac:dyDescent="0.3">
      <c r="B31" s="87" t="s">
        <v>8</v>
      </c>
      <c r="C31" s="88"/>
      <c r="D31" s="88"/>
      <c r="E31" s="88"/>
      <c r="F31" s="87" t="s">
        <v>9</v>
      </c>
      <c r="G31" s="89"/>
      <c r="H31" s="88" t="s">
        <v>10</v>
      </c>
      <c r="I31" s="88"/>
      <c r="J31" s="89"/>
      <c r="K31" s="16"/>
    </row>
    <row r="32" spans="1:39" x14ac:dyDescent="0.25">
      <c r="B32" s="90">
        <f>B28+C28+D28+E28</f>
        <v>128.69499999999999</v>
      </c>
      <c r="C32" s="91"/>
      <c r="D32" s="91"/>
      <c r="E32" s="91"/>
      <c r="F32" s="90">
        <f>F28+G28</f>
        <v>30.659999999999997</v>
      </c>
      <c r="G32" s="94"/>
      <c r="H32" s="96">
        <f>H28+I28+J28</f>
        <v>94.234999999999999</v>
      </c>
      <c r="I32" s="91"/>
      <c r="J32" s="94"/>
      <c r="K32" s="97">
        <f>B32+F32+H32</f>
        <v>253.58999999999997</v>
      </c>
    </row>
    <row r="33" spans="2:11" ht="15.75" thickBot="1" x14ac:dyDescent="0.3">
      <c r="B33" s="92"/>
      <c r="C33" s="93"/>
      <c r="D33" s="93"/>
      <c r="E33" s="93"/>
      <c r="F33" s="92"/>
      <c r="G33" s="95"/>
      <c r="H33" s="93"/>
      <c r="I33" s="93"/>
      <c r="J33" s="95"/>
      <c r="K33" s="98"/>
    </row>
    <row r="37" spans="2:11" ht="15.75" x14ac:dyDescent="0.25">
      <c r="H37" s="46"/>
    </row>
    <row r="38" spans="2:11" x14ac:dyDescent="0.25">
      <c r="I38" s="45"/>
    </row>
    <row r="40" spans="2:11" x14ac:dyDescent="0.25">
      <c r="E40" s="45"/>
    </row>
  </sheetData>
  <mergeCells count="8">
    <mergeCell ref="B1:K1"/>
    <mergeCell ref="B31:E31"/>
    <mergeCell ref="F31:G31"/>
    <mergeCell ref="H31:J31"/>
    <mergeCell ref="B32:E33"/>
    <mergeCell ref="F32:G33"/>
    <mergeCell ref="H32:J33"/>
    <mergeCell ref="K32:K33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B29F-CB9E-40B5-865A-861908EA84F8}">
  <dimension ref="A1:AM40"/>
  <sheetViews>
    <sheetView zoomScale="118" zoomScaleNormal="118" workbookViewId="0">
      <selection activeCell="F27" sqref="F27"/>
    </sheetView>
  </sheetViews>
  <sheetFormatPr defaultColWidth="10.7109375" defaultRowHeight="15" x14ac:dyDescent="0.25"/>
  <cols>
    <col min="1" max="1" width="15.140625" customWidth="1"/>
    <col min="2" max="2" width="12" bestFit="1" customWidth="1"/>
  </cols>
  <sheetData>
    <row r="1" spans="1:39" ht="33" customHeight="1" thickBot="1" x14ac:dyDescent="0.3">
      <c r="A1" s="44" t="s">
        <v>14</v>
      </c>
      <c r="B1" s="84" t="s">
        <v>31</v>
      </c>
      <c r="C1" s="85"/>
      <c r="D1" s="85"/>
      <c r="E1" s="85"/>
      <c r="F1" s="85"/>
      <c r="G1" s="85"/>
      <c r="H1" s="85"/>
      <c r="I1" s="85"/>
      <c r="J1" s="85"/>
      <c r="K1" s="86"/>
    </row>
    <row r="2" spans="1:39" ht="16.5" thickBot="1" x14ac:dyDescent="0.3">
      <c r="A2" s="78">
        <v>45537</v>
      </c>
      <c r="B2" s="31"/>
      <c r="C2" s="32"/>
      <c r="D2" s="32"/>
      <c r="E2" s="32"/>
      <c r="F2" s="32"/>
      <c r="G2" s="32"/>
      <c r="H2" s="32"/>
      <c r="I2" s="32"/>
      <c r="J2" s="32"/>
      <c r="K2" s="33"/>
    </row>
    <row r="3" spans="1:39" ht="16.5" thickBot="1" x14ac:dyDescent="0.3">
      <c r="A3" s="80">
        <v>45538</v>
      </c>
      <c r="B3" s="76"/>
      <c r="C3" s="25"/>
      <c r="D3" s="25"/>
      <c r="E3" s="25"/>
      <c r="F3" s="25"/>
      <c r="G3" s="25"/>
      <c r="H3" s="25"/>
      <c r="I3" s="25"/>
      <c r="J3" s="25"/>
      <c r="K3" s="26"/>
    </row>
    <row r="4" spans="1:39" ht="16.5" thickBot="1" x14ac:dyDescent="0.3">
      <c r="A4" s="78">
        <v>45539</v>
      </c>
      <c r="B4" s="77"/>
      <c r="C4" s="36"/>
      <c r="D4" s="36"/>
      <c r="E4" s="36"/>
      <c r="F4" s="36"/>
      <c r="G4" s="36"/>
      <c r="H4" s="36"/>
      <c r="I4" s="36"/>
      <c r="J4" s="36"/>
      <c r="K4" s="37"/>
    </row>
    <row r="5" spans="1:39" ht="16.5" thickBot="1" x14ac:dyDescent="0.3">
      <c r="A5" s="80">
        <v>45540</v>
      </c>
      <c r="B5" s="76"/>
      <c r="C5" s="25"/>
      <c r="D5" s="25"/>
      <c r="E5" s="25"/>
      <c r="F5" s="25"/>
      <c r="G5" s="25"/>
      <c r="H5" s="25"/>
      <c r="I5" s="25"/>
      <c r="J5" s="25"/>
      <c r="K5" s="26"/>
    </row>
    <row r="6" spans="1:39" ht="16.5" thickBot="1" x14ac:dyDescent="0.3">
      <c r="A6" s="78">
        <v>45541</v>
      </c>
      <c r="B6" s="35"/>
      <c r="C6" s="36"/>
      <c r="D6" s="36"/>
      <c r="E6" s="36"/>
      <c r="F6" s="36"/>
      <c r="G6" s="36"/>
      <c r="H6" s="36"/>
      <c r="I6" s="36"/>
      <c r="J6" s="36"/>
      <c r="K6" s="37"/>
    </row>
    <row r="7" spans="1:39" ht="16.5" thickBot="1" x14ac:dyDescent="0.3">
      <c r="A7" s="80">
        <v>45544</v>
      </c>
      <c r="B7" s="59"/>
      <c r="C7" s="60"/>
      <c r="D7" s="60"/>
      <c r="E7" s="60"/>
      <c r="F7" s="60"/>
      <c r="G7" s="60"/>
      <c r="H7" s="60"/>
      <c r="I7" s="60"/>
      <c r="J7" s="60"/>
      <c r="K7" s="61"/>
    </row>
    <row r="8" spans="1:39" ht="16.5" thickBot="1" x14ac:dyDescent="0.3">
      <c r="A8" s="78">
        <v>45545</v>
      </c>
      <c r="B8" s="38"/>
      <c r="C8" s="36"/>
      <c r="D8" s="36"/>
      <c r="E8" s="36"/>
      <c r="F8" s="36"/>
      <c r="G8" s="36"/>
      <c r="H8" s="36"/>
      <c r="I8" s="36"/>
      <c r="J8" s="36"/>
      <c r="K8" s="39"/>
    </row>
    <row r="9" spans="1:39" ht="16.5" thickBot="1" x14ac:dyDescent="0.3">
      <c r="A9" s="80">
        <v>45546</v>
      </c>
      <c r="B9" s="62">
        <v>1.5249999999999999</v>
      </c>
      <c r="C9" s="60">
        <v>3.0249999999999999</v>
      </c>
      <c r="D9" s="60">
        <v>3.4750000000000001</v>
      </c>
      <c r="E9" s="60">
        <v>1.87</v>
      </c>
      <c r="F9" s="60"/>
      <c r="G9" s="60"/>
      <c r="H9" s="60">
        <v>0.78500000000000003</v>
      </c>
      <c r="I9" s="60">
        <v>1.4850000000000001</v>
      </c>
      <c r="J9" s="60">
        <v>2.37</v>
      </c>
      <c r="K9" s="63"/>
    </row>
    <row r="10" spans="1:39" ht="16.5" thickBot="1" x14ac:dyDescent="0.3">
      <c r="A10" s="78">
        <v>45547</v>
      </c>
      <c r="B10" s="38">
        <v>0.58499999999999996</v>
      </c>
      <c r="C10" s="36">
        <v>1.115</v>
      </c>
      <c r="D10" s="36">
        <v>1.375</v>
      </c>
      <c r="E10" s="36">
        <v>1.165</v>
      </c>
      <c r="F10" s="36">
        <v>1.0249999999999999</v>
      </c>
      <c r="G10" s="36">
        <v>1.7450000000000001</v>
      </c>
      <c r="H10" s="36"/>
      <c r="I10" s="36"/>
      <c r="J10" s="36"/>
      <c r="K10" s="39"/>
    </row>
    <row r="11" spans="1:39" ht="16.5" thickBot="1" x14ac:dyDescent="0.3">
      <c r="A11" s="80">
        <v>45548</v>
      </c>
      <c r="B11" s="62">
        <v>1.5149999999999999</v>
      </c>
      <c r="C11" s="60">
        <v>3.0249999999999999</v>
      </c>
      <c r="D11" s="60">
        <v>3.46</v>
      </c>
      <c r="E11" s="60">
        <v>1.88</v>
      </c>
      <c r="F11" s="60"/>
      <c r="G11" s="60"/>
      <c r="H11" s="60"/>
      <c r="I11" s="60"/>
      <c r="J11" s="60"/>
      <c r="K11" s="63"/>
    </row>
    <row r="12" spans="1:39" ht="16.5" thickBot="1" x14ac:dyDescent="0.3">
      <c r="A12" s="78">
        <v>45551</v>
      </c>
      <c r="B12" s="38">
        <v>1.52</v>
      </c>
      <c r="C12" s="36">
        <v>3.04</v>
      </c>
      <c r="D12" s="36">
        <v>3.45</v>
      </c>
      <c r="E12" s="36">
        <v>1.89</v>
      </c>
      <c r="F12" s="36">
        <v>2.5449999999999999</v>
      </c>
      <c r="G12" s="36">
        <v>2.5499999999999998</v>
      </c>
      <c r="H12" s="36">
        <v>1.53</v>
      </c>
      <c r="I12" s="36">
        <v>6.02</v>
      </c>
      <c r="J12" s="36">
        <v>6.03</v>
      </c>
      <c r="K12" s="39"/>
    </row>
    <row r="13" spans="1:39" s="64" customFormat="1" ht="16.5" thickBot="1" x14ac:dyDescent="0.3">
      <c r="A13" s="80">
        <v>45552</v>
      </c>
      <c r="B13" s="62">
        <v>1.54</v>
      </c>
      <c r="C13" s="60">
        <v>3.0449999999999999</v>
      </c>
      <c r="D13" s="60">
        <v>3.46</v>
      </c>
      <c r="E13" s="60">
        <v>1.93</v>
      </c>
      <c r="F13" s="60"/>
      <c r="G13" s="60"/>
      <c r="H13" s="60"/>
      <c r="I13" s="60"/>
      <c r="J13" s="60"/>
      <c r="K13" s="6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ht="16.5" thickBot="1" x14ac:dyDescent="0.3">
      <c r="A14" s="78">
        <v>45553</v>
      </c>
      <c r="B14" s="38">
        <v>1.52</v>
      </c>
      <c r="C14" s="36">
        <v>3.05</v>
      </c>
      <c r="D14" s="36">
        <v>3.66</v>
      </c>
      <c r="E14" s="36">
        <v>1.88</v>
      </c>
      <c r="F14" s="36">
        <v>2.54</v>
      </c>
      <c r="G14" s="36">
        <v>2.5299999999999998</v>
      </c>
      <c r="H14" s="36">
        <v>1.54</v>
      </c>
      <c r="I14" s="36">
        <v>6.04</v>
      </c>
      <c r="J14" s="36">
        <v>6.0250000000000004</v>
      </c>
      <c r="K14" s="39"/>
    </row>
    <row r="15" spans="1:39" s="64" customFormat="1" ht="16.5" thickBot="1" x14ac:dyDescent="0.3">
      <c r="A15" s="80">
        <v>45554</v>
      </c>
      <c r="B15" s="62">
        <v>0.65</v>
      </c>
      <c r="C15" s="60">
        <v>1.25</v>
      </c>
      <c r="D15" s="60">
        <v>1.5</v>
      </c>
      <c r="E15" s="60">
        <v>1.1499999999999999</v>
      </c>
      <c r="F15" s="60">
        <v>1.1599999999999999</v>
      </c>
      <c r="G15" s="60">
        <v>1.18</v>
      </c>
      <c r="H15" s="60">
        <v>0.87</v>
      </c>
      <c r="I15" s="60">
        <v>5.55</v>
      </c>
      <c r="J15" s="60">
        <v>2.4049999999999998</v>
      </c>
      <c r="K15" s="63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ht="16.5" thickBot="1" x14ac:dyDescent="0.3">
      <c r="A16" s="78">
        <v>45555</v>
      </c>
      <c r="B16" s="55">
        <v>1.5</v>
      </c>
      <c r="C16" s="56">
        <v>3.1</v>
      </c>
      <c r="D16" s="56">
        <v>3.63</v>
      </c>
      <c r="E16" s="56">
        <v>1.86</v>
      </c>
      <c r="F16" s="56"/>
      <c r="G16" s="56"/>
      <c r="H16" s="56">
        <v>1.5249999999999999</v>
      </c>
      <c r="I16" s="56"/>
      <c r="J16" s="56">
        <v>6.09</v>
      </c>
      <c r="K16" s="57"/>
    </row>
    <row r="17" spans="1:39" s="64" customFormat="1" ht="15.75" x14ac:dyDescent="0.25">
      <c r="A17" s="80">
        <v>45558</v>
      </c>
      <c r="B17" s="66">
        <v>1.54</v>
      </c>
      <c r="C17" s="67">
        <v>3.09</v>
      </c>
      <c r="D17" s="67">
        <v>3.65</v>
      </c>
      <c r="E17" s="67">
        <v>1.855</v>
      </c>
      <c r="F17" s="67">
        <v>2.57</v>
      </c>
      <c r="G17" s="67">
        <v>2.54</v>
      </c>
      <c r="H17" s="67">
        <v>1.54</v>
      </c>
      <c r="I17" s="67">
        <v>6.06</v>
      </c>
      <c r="J17" s="67">
        <v>6.0350000000000001</v>
      </c>
      <c r="K17" s="68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ht="15.75" x14ac:dyDescent="0.25">
      <c r="A18" s="30">
        <v>45559</v>
      </c>
      <c r="B18" s="55">
        <v>1.5249999999999999</v>
      </c>
      <c r="C18" s="56">
        <v>3.05</v>
      </c>
      <c r="D18" s="56">
        <v>3.64</v>
      </c>
      <c r="E18" s="56">
        <v>1.89</v>
      </c>
      <c r="F18" s="56"/>
      <c r="G18" s="56"/>
      <c r="H18" s="56"/>
      <c r="I18" s="56"/>
      <c r="J18" s="56"/>
      <c r="K18" s="57"/>
    </row>
    <row r="19" spans="1:39" s="64" customFormat="1" ht="15.75" x14ac:dyDescent="0.25">
      <c r="A19" s="29">
        <v>45560</v>
      </c>
      <c r="B19" s="66">
        <v>1.53</v>
      </c>
      <c r="C19" s="67">
        <v>3.09</v>
      </c>
      <c r="D19" s="67">
        <v>3.7050000000000001</v>
      </c>
      <c r="E19" s="67">
        <v>1.905</v>
      </c>
      <c r="F19" s="67">
        <v>2.59</v>
      </c>
      <c r="G19" s="67">
        <v>2.58</v>
      </c>
      <c r="H19" s="67">
        <v>1.55</v>
      </c>
      <c r="I19" s="67">
        <v>6.08</v>
      </c>
      <c r="J19" s="67">
        <v>6.09</v>
      </c>
      <c r="K19" s="68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ht="15.75" x14ac:dyDescent="0.25">
      <c r="A20" s="30">
        <v>45561</v>
      </c>
      <c r="B20" s="55">
        <v>0.6</v>
      </c>
      <c r="C20" s="56">
        <v>3.04</v>
      </c>
      <c r="D20" s="56">
        <v>1.46</v>
      </c>
      <c r="E20" s="56">
        <v>1.175</v>
      </c>
      <c r="F20" s="56"/>
      <c r="G20" s="56"/>
      <c r="H20" s="56">
        <v>0.92500000000000004</v>
      </c>
      <c r="I20" s="56">
        <v>1.6</v>
      </c>
      <c r="J20" s="56">
        <v>2.38</v>
      </c>
      <c r="K20" s="57"/>
    </row>
    <row r="21" spans="1:39" s="64" customFormat="1" ht="15.75" x14ac:dyDescent="0.25">
      <c r="A21" s="29">
        <v>45562</v>
      </c>
      <c r="B21" s="66">
        <v>1.49</v>
      </c>
      <c r="C21" s="67">
        <v>3.0249999999999999</v>
      </c>
      <c r="D21" s="67">
        <v>3.33</v>
      </c>
      <c r="E21" s="67">
        <v>1.86</v>
      </c>
      <c r="F21" s="67"/>
      <c r="G21" s="67"/>
      <c r="H21" s="67"/>
      <c r="I21" s="67"/>
      <c r="J21" s="67"/>
      <c r="K21" s="68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ht="15.75" x14ac:dyDescent="0.25">
      <c r="A22" s="30">
        <v>45565</v>
      </c>
      <c r="B22" s="55">
        <v>1.56</v>
      </c>
      <c r="C22" s="56">
        <v>3.06</v>
      </c>
      <c r="D22" s="56">
        <v>3.6</v>
      </c>
      <c r="E22" s="56">
        <v>1.9450000000000001</v>
      </c>
      <c r="F22" s="56">
        <v>2.56</v>
      </c>
      <c r="G22" s="56">
        <v>2.5449999999999999</v>
      </c>
      <c r="H22" s="56">
        <v>1.58</v>
      </c>
      <c r="I22" s="56">
        <v>6.05</v>
      </c>
      <c r="J22" s="56">
        <v>6.08</v>
      </c>
      <c r="K22" s="57"/>
    </row>
    <row r="23" spans="1:39" s="64" customFormat="1" ht="15.75" x14ac:dyDescent="0.25">
      <c r="A23" s="29"/>
      <c r="B23" s="66">
        <v>1.56</v>
      </c>
      <c r="C23" s="67"/>
      <c r="D23" s="67"/>
      <c r="E23" s="67">
        <v>1.88</v>
      </c>
      <c r="F23" s="67"/>
      <c r="G23" s="67"/>
      <c r="H23" s="67"/>
      <c r="I23" s="67"/>
      <c r="J23" s="67"/>
      <c r="K23" s="68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ht="15.75" x14ac:dyDescent="0.25">
      <c r="A24" s="30"/>
      <c r="B24" s="55"/>
      <c r="C24" s="56"/>
      <c r="D24" s="56"/>
      <c r="E24" s="56"/>
      <c r="F24" s="56"/>
      <c r="G24" s="56"/>
      <c r="H24" s="56"/>
      <c r="I24" s="56"/>
      <c r="J24" s="56"/>
      <c r="K24" s="57"/>
    </row>
    <row r="25" spans="1:39" s="64" customFormat="1" ht="15.75" x14ac:dyDescent="0.25">
      <c r="A25" s="29"/>
      <c r="B25" s="66"/>
      <c r="C25" s="67"/>
      <c r="D25" s="67"/>
      <c r="E25" s="67"/>
      <c r="F25" s="67"/>
      <c r="G25" s="67"/>
      <c r="H25" s="67"/>
      <c r="I25" s="67"/>
      <c r="J25" s="67"/>
      <c r="K25" s="68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ht="15.75" x14ac:dyDescent="0.25">
      <c r="A26" s="30"/>
      <c r="B26" s="55"/>
      <c r="C26" s="56"/>
      <c r="D26" s="56"/>
      <c r="E26" s="56"/>
      <c r="F26" s="56"/>
      <c r="G26" s="56"/>
      <c r="H26" s="56"/>
      <c r="I26" s="56"/>
      <c r="J26" s="56"/>
      <c r="K26" s="57"/>
    </row>
    <row r="27" spans="1:39" s="64" customFormat="1" ht="16.5" thickBot="1" x14ac:dyDescent="0.3">
      <c r="A27" s="79"/>
      <c r="B27" s="69"/>
      <c r="C27" s="70"/>
      <c r="D27" s="70"/>
      <c r="E27" s="70"/>
      <c r="F27" s="70"/>
      <c r="G27" s="70"/>
      <c r="H27" s="70"/>
      <c r="I27" s="70"/>
      <c r="J27" s="70"/>
      <c r="K27" s="71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ht="19.5" thickBot="1" x14ac:dyDescent="0.3">
      <c r="B28" s="5">
        <f t="shared" ref="B28:J28" si="0">SUM(B2:B27)</f>
        <v>20.159999999999997</v>
      </c>
      <c r="C28" s="5">
        <f t="shared" si="0"/>
        <v>39.005000000000003</v>
      </c>
      <c r="D28" s="5">
        <f t="shared" si="0"/>
        <v>43.394999999999996</v>
      </c>
      <c r="E28" s="5">
        <f t="shared" si="0"/>
        <v>26.134999999999998</v>
      </c>
      <c r="F28" s="5">
        <f>SUM(F2:F27)</f>
        <v>14.99</v>
      </c>
      <c r="G28" s="5">
        <f>SUM(G2:G27)</f>
        <v>15.669999999999998</v>
      </c>
      <c r="H28" s="5">
        <f t="shared" si="0"/>
        <v>11.845000000000001</v>
      </c>
      <c r="I28" s="5">
        <f t="shared" si="0"/>
        <v>38.884999999999998</v>
      </c>
      <c r="J28" s="5">
        <f t="shared" si="0"/>
        <v>43.505000000000003</v>
      </c>
      <c r="K28" s="5">
        <f t="shared" ref="K28" si="1">SUM(K4:K27)</f>
        <v>0</v>
      </c>
    </row>
    <row r="29" spans="1:39" ht="15.75" thickBot="1" x14ac:dyDescent="0.3">
      <c r="B29" s="2" t="s">
        <v>0</v>
      </c>
      <c r="C29" s="3" t="s">
        <v>1</v>
      </c>
      <c r="D29" s="2" t="s">
        <v>2</v>
      </c>
      <c r="E29" s="2" t="s">
        <v>25</v>
      </c>
      <c r="F29" s="4" t="s">
        <v>3</v>
      </c>
      <c r="G29" s="2" t="s">
        <v>4</v>
      </c>
      <c r="H29" s="4" t="s">
        <v>5</v>
      </c>
      <c r="I29" s="2" t="s">
        <v>6</v>
      </c>
      <c r="J29" s="4" t="s">
        <v>7</v>
      </c>
      <c r="K29" s="2"/>
    </row>
    <row r="30" spans="1:39" ht="15.75" thickBot="1" x14ac:dyDescent="0.3"/>
    <row r="31" spans="1:39" ht="18.75" x14ac:dyDescent="0.3">
      <c r="B31" s="87" t="s">
        <v>8</v>
      </c>
      <c r="C31" s="88"/>
      <c r="D31" s="88"/>
      <c r="E31" s="88"/>
      <c r="F31" s="87" t="s">
        <v>9</v>
      </c>
      <c r="G31" s="89"/>
      <c r="H31" s="88" t="s">
        <v>10</v>
      </c>
      <c r="I31" s="88"/>
      <c r="J31" s="89"/>
      <c r="K31" s="16"/>
    </row>
    <row r="32" spans="1:39" x14ac:dyDescent="0.25">
      <c r="B32" s="90">
        <f>B28+C28+D28+E28</f>
        <v>128.69499999999999</v>
      </c>
      <c r="C32" s="91"/>
      <c r="D32" s="91"/>
      <c r="E32" s="91"/>
      <c r="F32" s="90">
        <f>F28+G28</f>
        <v>30.659999999999997</v>
      </c>
      <c r="G32" s="94"/>
      <c r="H32" s="96">
        <f>H28+I28+J28</f>
        <v>94.234999999999999</v>
      </c>
      <c r="I32" s="91"/>
      <c r="J32" s="94"/>
      <c r="K32" s="97">
        <f>B32+F32+H32</f>
        <v>253.58999999999997</v>
      </c>
    </row>
    <row r="33" spans="2:11" ht="15.75" thickBot="1" x14ac:dyDescent="0.3">
      <c r="B33" s="92"/>
      <c r="C33" s="93"/>
      <c r="D33" s="93"/>
      <c r="E33" s="93"/>
      <c r="F33" s="92"/>
      <c r="G33" s="95"/>
      <c r="H33" s="93"/>
      <c r="I33" s="93"/>
      <c r="J33" s="95"/>
      <c r="K33" s="98"/>
    </row>
    <row r="37" spans="2:11" ht="15.75" x14ac:dyDescent="0.25">
      <c r="H37" s="46"/>
    </row>
    <row r="38" spans="2:11" x14ac:dyDescent="0.25">
      <c r="I38" s="45"/>
    </row>
    <row r="40" spans="2:11" x14ac:dyDescent="0.25">
      <c r="E40" s="45"/>
    </row>
  </sheetData>
  <mergeCells count="8">
    <mergeCell ref="B1:K1"/>
    <mergeCell ref="B31:E31"/>
    <mergeCell ref="F31:G31"/>
    <mergeCell ref="H31:J31"/>
    <mergeCell ref="B32:E33"/>
    <mergeCell ref="F32:G33"/>
    <mergeCell ref="H32:J33"/>
    <mergeCell ref="K32:K33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workbookViewId="0">
      <selection sqref="A1:I30"/>
    </sheetView>
  </sheetViews>
  <sheetFormatPr defaultColWidth="10.7109375" defaultRowHeight="15" x14ac:dyDescent="0.25"/>
  <sheetData>
    <row r="1" spans="1:9" ht="33" customHeight="1" thickBot="1" x14ac:dyDescent="0.3">
      <c r="A1" s="99" t="s">
        <v>11</v>
      </c>
      <c r="B1" s="100"/>
      <c r="C1" s="100"/>
      <c r="D1" s="100"/>
      <c r="E1" s="100"/>
      <c r="F1" s="100"/>
      <c r="G1" s="100"/>
      <c r="H1" s="100"/>
      <c r="I1" s="101"/>
    </row>
    <row r="2" spans="1:9" ht="18" x14ac:dyDescent="0.25">
      <c r="A2" s="10">
        <v>1.018</v>
      </c>
      <c r="B2" s="11">
        <v>2.286</v>
      </c>
      <c r="C2" s="11">
        <v>2.294</v>
      </c>
      <c r="D2" s="11">
        <v>1.722</v>
      </c>
      <c r="E2" s="11">
        <v>2.2559999999999998</v>
      </c>
      <c r="F2" s="11">
        <v>1.262</v>
      </c>
      <c r="G2" s="11">
        <v>4.8879999999999999</v>
      </c>
      <c r="H2" s="11">
        <v>4.5780000000000003</v>
      </c>
      <c r="I2" s="12"/>
    </row>
    <row r="3" spans="1:9" ht="18" x14ac:dyDescent="0.25">
      <c r="A3" s="6">
        <v>1.034</v>
      </c>
      <c r="B3" s="1">
        <v>2.242</v>
      </c>
      <c r="C3" s="1">
        <v>2.33</v>
      </c>
      <c r="D3" s="1">
        <v>1.6679999999999999</v>
      </c>
      <c r="E3" s="1">
        <v>2.2599999999999998</v>
      </c>
      <c r="F3" s="1">
        <v>1.3420000000000001</v>
      </c>
      <c r="G3" s="1">
        <v>4.66</v>
      </c>
      <c r="H3" s="1">
        <v>4.8499999999999996</v>
      </c>
      <c r="I3" s="7"/>
    </row>
    <row r="4" spans="1:9" ht="18" x14ac:dyDescent="0.25">
      <c r="A4" s="6">
        <v>1.016</v>
      </c>
      <c r="B4" s="1">
        <v>2.31</v>
      </c>
      <c r="C4" s="1">
        <v>2.282</v>
      </c>
      <c r="D4" s="1">
        <v>1.6619999999999999</v>
      </c>
      <c r="E4" s="1">
        <v>2.306</v>
      </c>
      <c r="F4" s="1">
        <v>1.22</v>
      </c>
      <c r="G4" s="1">
        <v>4.5819999999999999</v>
      </c>
      <c r="H4" s="1">
        <v>4.8499999999999996</v>
      </c>
      <c r="I4" s="7"/>
    </row>
    <row r="5" spans="1:9" ht="18" x14ac:dyDescent="0.25">
      <c r="A5" s="8">
        <v>1.034</v>
      </c>
      <c r="B5" s="1">
        <v>2.3279999999999998</v>
      </c>
      <c r="C5" s="1">
        <v>2.3220000000000001</v>
      </c>
      <c r="D5" s="1">
        <v>1.6819999999999999</v>
      </c>
      <c r="E5" s="1">
        <v>2.2919999999999998</v>
      </c>
      <c r="F5" s="1">
        <v>1.256</v>
      </c>
      <c r="G5" s="1">
        <v>4.8479999999999999</v>
      </c>
      <c r="H5" s="1">
        <v>4.6079999999999997</v>
      </c>
      <c r="I5" s="9"/>
    </row>
    <row r="6" spans="1:9" ht="18" x14ac:dyDescent="0.25">
      <c r="A6" s="8">
        <v>1.07</v>
      </c>
      <c r="B6" s="1">
        <v>2.2839999999999998</v>
      </c>
      <c r="C6" s="1">
        <v>2.2799999999999998</v>
      </c>
      <c r="D6" s="1">
        <v>1.792</v>
      </c>
      <c r="E6" s="1">
        <v>2.3359999999999999</v>
      </c>
      <c r="F6" s="1">
        <v>1.264</v>
      </c>
      <c r="G6" s="1">
        <v>4.984</v>
      </c>
      <c r="H6" s="1">
        <v>4.5979999999999999</v>
      </c>
      <c r="I6" s="9"/>
    </row>
    <row r="7" spans="1:9" ht="18" x14ac:dyDescent="0.25">
      <c r="A7" s="8">
        <v>1.046</v>
      </c>
      <c r="B7" s="1">
        <v>2.33</v>
      </c>
      <c r="C7" s="1">
        <v>2.3460000000000001</v>
      </c>
      <c r="D7" s="1">
        <v>1.728</v>
      </c>
      <c r="E7" s="1">
        <v>2.3159999999999998</v>
      </c>
      <c r="F7" s="1">
        <v>1.29</v>
      </c>
      <c r="G7" s="1">
        <v>4.8579999999999997</v>
      </c>
      <c r="H7" s="1">
        <v>4.6479999999999997</v>
      </c>
      <c r="I7" s="9"/>
    </row>
    <row r="8" spans="1:9" ht="18" x14ac:dyDescent="0.25">
      <c r="A8" s="8">
        <v>1.27</v>
      </c>
      <c r="B8" s="1">
        <v>2.282</v>
      </c>
      <c r="C8" s="1">
        <v>2.3359999999999999</v>
      </c>
      <c r="D8" s="1">
        <v>1.6619999999999999</v>
      </c>
      <c r="E8" s="1">
        <v>2.3039999999999998</v>
      </c>
      <c r="F8" s="1">
        <v>1.016</v>
      </c>
      <c r="G8" s="1">
        <v>4.8520000000000003</v>
      </c>
      <c r="H8" s="1">
        <v>4.444</v>
      </c>
      <c r="I8" s="9"/>
    </row>
    <row r="9" spans="1:9" ht="18" x14ac:dyDescent="0.25">
      <c r="A9" s="8">
        <v>1.03</v>
      </c>
      <c r="B9" s="1">
        <v>2.2879999999999998</v>
      </c>
      <c r="C9" s="1">
        <v>2.3340000000000001</v>
      </c>
      <c r="D9" s="1">
        <v>1.722</v>
      </c>
      <c r="E9" s="1">
        <v>2.2679999999999998</v>
      </c>
      <c r="F9" s="1">
        <v>1.254</v>
      </c>
      <c r="G9" s="1">
        <v>4.8920000000000003</v>
      </c>
      <c r="H9" s="1">
        <v>4.5279999999999996</v>
      </c>
      <c r="I9" s="9"/>
    </row>
    <row r="10" spans="1:9" ht="18" x14ac:dyDescent="0.25">
      <c r="A10" s="8">
        <v>0.98599999999999999</v>
      </c>
      <c r="B10" s="1">
        <v>2.246</v>
      </c>
      <c r="C10" s="1">
        <v>2.1880000000000002</v>
      </c>
      <c r="D10" s="1">
        <v>1.63</v>
      </c>
      <c r="E10" s="1">
        <v>2.222</v>
      </c>
      <c r="F10" s="1">
        <v>1.222</v>
      </c>
      <c r="G10" s="1">
        <v>4.6420000000000003</v>
      </c>
      <c r="H10" s="1">
        <v>4.452</v>
      </c>
      <c r="I10" s="9"/>
    </row>
    <row r="11" spans="1:9" ht="18" x14ac:dyDescent="0.25">
      <c r="A11" s="8">
        <v>1.0720000000000001</v>
      </c>
      <c r="B11" s="1">
        <v>2.556</v>
      </c>
      <c r="C11" s="1">
        <v>2.4620000000000002</v>
      </c>
      <c r="D11" s="1">
        <v>1.962</v>
      </c>
      <c r="E11" s="1">
        <v>2.5259999999999998</v>
      </c>
      <c r="F11" s="1">
        <v>1.31</v>
      </c>
      <c r="G11" s="1">
        <v>5.1779999999999999</v>
      </c>
      <c r="H11" s="1">
        <v>4.8680000000000003</v>
      </c>
      <c r="I11" s="9"/>
    </row>
    <row r="12" spans="1:9" ht="18" x14ac:dyDescent="0.25">
      <c r="A12" s="8">
        <v>1.002</v>
      </c>
      <c r="B12" s="1">
        <v>2.198</v>
      </c>
      <c r="C12" s="1">
        <v>2.19</v>
      </c>
      <c r="D12" s="1">
        <v>1.67</v>
      </c>
      <c r="E12" s="1">
        <v>2.206</v>
      </c>
      <c r="F12" s="1">
        <v>1.216</v>
      </c>
      <c r="G12" s="1">
        <v>4.7080000000000002</v>
      </c>
      <c r="H12" s="1">
        <v>4.4180000000000001</v>
      </c>
      <c r="I12" s="9"/>
    </row>
    <row r="13" spans="1:9" ht="18" x14ac:dyDescent="0.25">
      <c r="A13" s="8">
        <v>1.04</v>
      </c>
      <c r="B13" s="1">
        <v>2.3260000000000001</v>
      </c>
      <c r="C13" s="1">
        <v>2.3660000000000001</v>
      </c>
      <c r="D13" s="1">
        <v>1.792</v>
      </c>
      <c r="E13" s="1">
        <v>2.2839999999999998</v>
      </c>
      <c r="F13" s="1">
        <v>1.272</v>
      </c>
      <c r="G13" s="1">
        <v>4.774</v>
      </c>
      <c r="H13" s="1">
        <v>4.6280000000000001</v>
      </c>
      <c r="I13" s="9"/>
    </row>
    <row r="14" spans="1:9" ht="18" x14ac:dyDescent="0.25">
      <c r="A14" s="8">
        <v>1.018</v>
      </c>
      <c r="B14" s="1">
        <v>2.2480000000000002</v>
      </c>
      <c r="C14" s="1">
        <v>2.226</v>
      </c>
      <c r="D14" s="1">
        <v>1.6319999999999999</v>
      </c>
      <c r="E14" s="1">
        <v>2.1859999999999999</v>
      </c>
      <c r="F14" s="1">
        <v>1.25</v>
      </c>
      <c r="G14" s="1">
        <v>4.7699999999999996</v>
      </c>
      <c r="H14" s="1">
        <v>4.548</v>
      </c>
      <c r="I14" s="9"/>
    </row>
    <row r="15" spans="1:9" ht="18" x14ac:dyDescent="0.25">
      <c r="A15" s="8">
        <v>0.97199999999999998</v>
      </c>
      <c r="B15" s="1">
        <v>2.3239999999999998</v>
      </c>
      <c r="C15" s="1">
        <v>2.1779999999999999</v>
      </c>
      <c r="D15" s="1">
        <v>1.7</v>
      </c>
      <c r="E15" s="1">
        <v>2.2320000000000002</v>
      </c>
      <c r="F15" s="1">
        <v>1.194</v>
      </c>
      <c r="G15" s="1">
        <v>4.7460000000000004</v>
      </c>
      <c r="H15" s="1">
        <v>4.5739999999999998</v>
      </c>
      <c r="I15" s="9"/>
    </row>
    <row r="16" spans="1:9" ht="18" x14ac:dyDescent="0.25">
      <c r="A16" s="8">
        <v>1.008</v>
      </c>
      <c r="B16" s="1">
        <v>5.0599999999999996</v>
      </c>
      <c r="C16" s="1">
        <v>2.246</v>
      </c>
      <c r="D16" s="1">
        <v>3.4180000000000001</v>
      </c>
      <c r="E16" s="1">
        <v>2.3039999999999998</v>
      </c>
      <c r="F16" s="1">
        <v>1.212</v>
      </c>
      <c r="G16" s="1">
        <v>4.694</v>
      </c>
      <c r="H16" s="1">
        <v>7.3579999999999997</v>
      </c>
      <c r="I16" s="9"/>
    </row>
    <row r="17" spans="1:9" ht="18" x14ac:dyDescent="0.25">
      <c r="A17" s="8">
        <v>1.032</v>
      </c>
      <c r="B17" s="1">
        <v>2.3439999999999999</v>
      </c>
      <c r="C17" s="1">
        <v>2.3119999999999998</v>
      </c>
      <c r="D17" s="1">
        <v>1.74</v>
      </c>
      <c r="E17" s="1">
        <v>2.31</v>
      </c>
      <c r="F17" s="1">
        <v>1.252</v>
      </c>
      <c r="G17" s="1">
        <v>3.4420000000000002</v>
      </c>
      <c r="H17" s="1">
        <v>4.0140000000000002</v>
      </c>
      <c r="I17" s="9"/>
    </row>
    <row r="18" spans="1:9" ht="18" x14ac:dyDescent="0.25">
      <c r="A18" s="8">
        <v>1.04</v>
      </c>
      <c r="B18" s="1">
        <v>2.496</v>
      </c>
      <c r="C18" s="1">
        <v>2.4860000000000002</v>
      </c>
      <c r="D18" s="1">
        <v>1.744</v>
      </c>
      <c r="E18" s="1">
        <v>2.1619999999999999</v>
      </c>
      <c r="F18" s="1">
        <v>1.228</v>
      </c>
      <c r="G18" s="1">
        <v>3.44</v>
      </c>
      <c r="H18" s="1">
        <v>4.5759999999999996</v>
      </c>
      <c r="I18" s="9"/>
    </row>
    <row r="19" spans="1:9" ht="18" x14ac:dyDescent="0.25">
      <c r="A19" s="8">
        <v>1.01</v>
      </c>
      <c r="B19" s="1">
        <v>2.198</v>
      </c>
      <c r="C19" s="1">
        <v>2.198</v>
      </c>
      <c r="D19" s="1">
        <v>2.214</v>
      </c>
      <c r="E19" s="1">
        <v>2.238</v>
      </c>
      <c r="F19" s="1">
        <v>1.21</v>
      </c>
      <c r="G19" s="1">
        <v>3.3220000000000001</v>
      </c>
      <c r="H19" s="1">
        <v>3.77</v>
      </c>
      <c r="I19" s="9"/>
    </row>
    <row r="20" spans="1:9" ht="18" x14ac:dyDescent="0.25">
      <c r="A20" s="8">
        <v>0.98</v>
      </c>
      <c r="B20" s="1">
        <v>2.2719999999999998</v>
      </c>
      <c r="C20" s="1">
        <v>2.2160000000000002</v>
      </c>
      <c r="D20" s="1">
        <v>1.68</v>
      </c>
      <c r="E20" s="1">
        <v>2.194</v>
      </c>
      <c r="F20" s="1">
        <v>1.2</v>
      </c>
      <c r="G20" s="1">
        <v>3.3679999999999999</v>
      </c>
      <c r="H20" s="1">
        <v>4.0039999999999996</v>
      </c>
      <c r="I20" s="9"/>
    </row>
    <row r="21" spans="1:9" ht="18" x14ac:dyDescent="0.25">
      <c r="A21" s="8">
        <v>1.002</v>
      </c>
      <c r="B21" s="1">
        <v>4.484</v>
      </c>
      <c r="C21" s="1">
        <v>2.2480000000000002</v>
      </c>
      <c r="D21" s="1">
        <v>1.6719999999999999</v>
      </c>
      <c r="E21" s="1">
        <v>2.3559999999999999</v>
      </c>
      <c r="F21" s="1">
        <v>1.248</v>
      </c>
      <c r="G21" s="1">
        <v>6.758</v>
      </c>
      <c r="H21" s="1">
        <v>6.758</v>
      </c>
      <c r="I21" s="9"/>
    </row>
    <row r="22" spans="1:9" ht="18" x14ac:dyDescent="0.25">
      <c r="A22" s="8">
        <v>0.99199999999999999</v>
      </c>
      <c r="B22" s="1">
        <v>2.286</v>
      </c>
      <c r="C22" s="1">
        <v>2.274</v>
      </c>
      <c r="D22" s="1">
        <v>1.69</v>
      </c>
      <c r="E22" s="1">
        <v>2.298</v>
      </c>
      <c r="F22" s="1">
        <v>1.244</v>
      </c>
      <c r="G22" s="1">
        <v>3.4279999999999999</v>
      </c>
      <c r="H22" s="1">
        <v>4.1219999999999999</v>
      </c>
      <c r="I22" s="9"/>
    </row>
    <row r="23" spans="1:9" ht="18" x14ac:dyDescent="0.25">
      <c r="A23" s="8">
        <v>0.97</v>
      </c>
      <c r="B23" s="1">
        <v>2.286</v>
      </c>
      <c r="C23" s="1">
        <v>2.2959999999999998</v>
      </c>
      <c r="D23" s="1">
        <v>1.712</v>
      </c>
      <c r="E23" s="1">
        <v>2.29</v>
      </c>
      <c r="F23" s="1">
        <v>1.218</v>
      </c>
      <c r="G23" s="1">
        <v>3.39</v>
      </c>
      <c r="H23" s="1">
        <v>3.988</v>
      </c>
      <c r="I23" s="9"/>
    </row>
    <row r="24" spans="1:9" ht="18.75" thickBot="1" x14ac:dyDescent="0.3">
      <c r="A24" s="13">
        <v>1.012</v>
      </c>
      <c r="B24" s="14">
        <v>2.2280000000000002</v>
      </c>
      <c r="C24" s="14">
        <v>2.35</v>
      </c>
      <c r="D24" s="14">
        <v>1.712</v>
      </c>
      <c r="E24" s="14">
        <v>2.2559999999999998</v>
      </c>
      <c r="F24" s="14">
        <v>1.262</v>
      </c>
      <c r="G24" s="14">
        <v>3.488</v>
      </c>
      <c r="H24" s="14">
        <v>3.8919999999999999</v>
      </c>
      <c r="I24" s="15"/>
    </row>
    <row r="25" spans="1:9" ht="19.5" thickBot="1" x14ac:dyDescent="0.3">
      <c r="A25" s="5">
        <f>SUM(A2:A24)</f>
        <v>23.654000000000003</v>
      </c>
      <c r="B25" s="5">
        <f t="shared" ref="B25:I25" si="0">SUM(B2:B24)</f>
        <v>57.902000000000008</v>
      </c>
      <c r="C25" s="5">
        <f t="shared" si="0"/>
        <v>52.76</v>
      </c>
      <c r="D25" s="5">
        <f>SUM(D2:D24)</f>
        <v>41.606000000000002</v>
      </c>
      <c r="E25" s="5">
        <f t="shared" si="0"/>
        <v>52.402000000000008</v>
      </c>
      <c r="F25" s="5">
        <f t="shared" si="0"/>
        <v>28.442</v>
      </c>
      <c r="G25" s="5">
        <f t="shared" si="0"/>
        <v>102.71199999999999</v>
      </c>
      <c r="H25" s="5">
        <f t="shared" si="0"/>
        <v>107.07399999999998</v>
      </c>
      <c r="I25" s="5">
        <f t="shared" si="0"/>
        <v>0</v>
      </c>
    </row>
    <row r="26" spans="1:9" ht="15.75" thickBot="1" x14ac:dyDescent="0.3">
      <c r="A26" s="2" t="s">
        <v>0</v>
      </c>
      <c r="B26" s="3" t="s">
        <v>1</v>
      </c>
      <c r="C26" s="2" t="s">
        <v>2</v>
      </c>
      <c r="D26" s="4" t="s">
        <v>3</v>
      </c>
      <c r="E26" s="2" t="s">
        <v>4</v>
      </c>
      <c r="F26" s="4" t="s">
        <v>5</v>
      </c>
      <c r="G26" s="2" t="s">
        <v>6</v>
      </c>
      <c r="H26" s="4" t="s">
        <v>7</v>
      </c>
      <c r="I26" s="2"/>
    </row>
    <row r="27" spans="1:9" ht="15.75" thickBot="1" x14ac:dyDescent="0.3"/>
    <row r="28" spans="1:9" ht="18.75" x14ac:dyDescent="0.3">
      <c r="A28" s="87" t="s">
        <v>8</v>
      </c>
      <c r="B28" s="88"/>
      <c r="C28" s="88"/>
      <c r="D28" s="87" t="s">
        <v>9</v>
      </c>
      <c r="E28" s="89"/>
      <c r="F28" s="88" t="s">
        <v>10</v>
      </c>
      <c r="G28" s="88"/>
      <c r="H28" s="89"/>
      <c r="I28" s="16"/>
    </row>
    <row r="29" spans="1:9" x14ac:dyDescent="0.25">
      <c r="A29" s="90">
        <f>A25+B25+C25</f>
        <v>134.316</v>
      </c>
      <c r="B29" s="91"/>
      <c r="C29" s="91"/>
      <c r="D29" s="90">
        <f>D25+E25</f>
        <v>94.00800000000001</v>
      </c>
      <c r="E29" s="94"/>
      <c r="F29" s="96">
        <f>F25+G25+H25</f>
        <v>238.22799999999998</v>
      </c>
      <c r="G29" s="91"/>
      <c r="H29" s="94"/>
      <c r="I29" s="102"/>
    </row>
    <row r="30" spans="1:9" ht="15.75" thickBot="1" x14ac:dyDescent="0.3">
      <c r="A30" s="92"/>
      <c r="B30" s="93"/>
      <c r="C30" s="93"/>
      <c r="D30" s="92"/>
      <c r="E30" s="95"/>
      <c r="F30" s="93"/>
      <c r="G30" s="93"/>
      <c r="H30" s="95"/>
      <c r="I30" s="98"/>
    </row>
  </sheetData>
  <mergeCells count="8">
    <mergeCell ref="A1:I1"/>
    <mergeCell ref="A28:C28"/>
    <mergeCell ref="D28:E28"/>
    <mergeCell ref="F28:H28"/>
    <mergeCell ref="A29:C30"/>
    <mergeCell ref="D29:E30"/>
    <mergeCell ref="F29:H30"/>
    <mergeCell ref="I29:I30"/>
  </mergeCells>
  <pageMargins left="0.3" right="0.26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>
      <selection activeCell="A2" sqref="A2:A27"/>
    </sheetView>
  </sheetViews>
  <sheetFormatPr defaultColWidth="10.7109375" defaultRowHeight="15" x14ac:dyDescent="0.25"/>
  <cols>
    <col min="2" max="2" width="12.85546875" bestFit="1" customWidth="1"/>
    <col min="8" max="8" width="10.7109375" customWidth="1"/>
  </cols>
  <sheetData>
    <row r="1" spans="1:10" ht="33" customHeight="1" thickBot="1" x14ac:dyDescent="0.3">
      <c r="A1" s="99" t="s">
        <v>12</v>
      </c>
      <c r="B1" s="100"/>
      <c r="C1" s="100"/>
      <c r="D1" s="100"/>
      <c r="E1" s="100"/>
      <c r="F1" s="100"/>
      <c r="G1" s="100"/>
      <c r="H1" s="100"/>
      <c r="I1" s="100"/>
      <c r="J1" s="101"/>
    </row>
    <row r="2" spans="1:10" ht="33" customHeight="1" thickBot="1" x14ac:dyDescent="0.3">
      <c r="A2" s="18" t="s">
        <v>14</v>
      </c>
      <c r="B2" s="103" t="s">
        <v>13</v>
      </c>
      <c r="C2" s="104"/>
      <c r="D2" s="104"/>
      <c r="E2" s="104"/>
      <c r="F2" s="104"/>
      <c r="G2" s="104"/>
      <c r="H2" s="104"/>
      <c r="I2" s="104"/>
      <c r="J2" s="105"/>
    </row>
    <row r="3" spans="1:10" ht="18" x14ac:dyDescent="0.25">
      <c r="A3" s="20">
        <v>45019</v>
      </c>
      <c r="B3" s="10">
        <v>1.034</v>
      </c>
      <c r="C3" s="19">
        <v>2.2719999999999998</v>
      </c>
      <c r="D3" s="11">
        <v>2.2519999999999998</v>
      </c>
      <c r="E3" s="11">
        <v>2.2240000000000002</v>
      </c>
      <c r="F3" s="11">
        <v>2.2639999999999998</v>
      </c>
      <c r="G3" s="11">
        <v>1.254</v>
      </c>
      <c r="H3" s="11">
        <v>3.4079999999999999</v>
      </c>
      <c r="I3" s="11">
        <v>3.956</v>
      </c>
      <c r="J3" s="12"/>
    </row>
    <row r="4" spans="1:10" ht="18" x14ac:dyDescent="0.25">
      <c r="A4" s="21">
        <v>45020</v>
      </c>
      <c r="B4" s="6">
        <v>1.01</v>
      </c>
      <c r="C4" s="17">
        <v>2.194</v>
      </c>
      <c r="D4" s="1">
        <v>2.27</v>
      </c>
      <c r="E4" s="1">
        <v>1.696</v>
      </c>
      <c r="F4" s="1">
        <v>2.2360000000000002</v>
      </c>
      <c r="G4" s="1">
        <v>1.204</v>
      </c>
      <c r="H4" s="1">
        <v>3.4140000000000001</v>
      </c>
      <c r="I4" s="1">
        <v>3.4140000000000001</v>
      </c>
      <c r="J4" s="7"/>
    </row>
    <row r="5" spans="1:10" ht="18" x14ac:dyDescent="0.25">
      <c r="A5" s="21">
        <v>45021</v>
      </c>
      <c r="B5" s="8">
        <v>1.06</v>
      </c>
      <c r="C5" s="17">
        <v>2.29</v>
      </c>
      <c r="D5" s="1">
        <v>1.708</v>
      </c>
      <c r="E5" s="1">
        <v>1.726</v>
      </c>
      <c r="F5" s="1">
        <v>2.258</v>
      </c>
      <c r="G5" s="1">
        <v>1.268</v>
      </c>
      <c r="H5" s="1">
        <v>3.4060000000000001</v>
      </c>
      <c r="I5" s="1">
        <v>3.97</v>
      </c>
      <c r="J5" s="7"/>
    </row>
    <row r="6" spans="1:10" ht="18" x14ac:dyDescent="0.25">
      <c r="A6" s="21">
        <v>45026</v>
      </c>
      <c r="B6" s="8">
        <v>1.018</v>
      </c>
      <c r="C6" s="1">
        <v>2.2400000000000002</v>
      </c>
      <c r="D6" s="1">
        <v>2.2400000000000002</v>
      </c>
      <c r="E6" s="1">
        <v>1.6739999999999999</v>
      </c>
      <c r="F6" s="1">
        <v>2.226</v>
      </c>
      <c r="G6" s="1">
        <v>1.216</v>
      </c>
      <c r="H6" s="1">
        <v>3.3079999999999998</v>
      </c>
      <c r="I6" s="1">
        <v>3.3079999999999998</v>
      </c>
      <c r="J6" s="9"/>
    </row>
    <row r="7" spans="1:10" ht="18" x14ac:dyDescent="0.25">
      <c r="A7" s="21">
        <v>45027</v>
      </c>
      <c r="B7" s="8">
        <v>1.004</v>
      </c>
      <c r="C7" s="1">
        <v>2.198</v>
      </c>
      <c r="D7" s="1">
        <v>2.2120000000000002</v>
      </c>
      <c r="E7" s="1">
        <v>1.6739999999999999</v>
      </c>
      <c r="F7" s="1">
        <v>2.258</v>
      </c>
      <c r="G7" s="1">
        <v>1.26</v>
      </c>
      <c r="H7" s="1">
        <v>3.45</v>
      </c>
      <c r="I7" s="1">
        <v>3.45</v>
      </c>
      <c r="J7" s="9"/>
    </row>
    <row r="8" spans="1:10" ht="18" x14ac:dyDescent="0.25">
      <c r="A8" s="21">
        <v>45028</v>
      </c>
      <c r="B8" s="8">
        <v>1.042</v>
      </c>
      <c r="C8" s="1">
        <v>2.274</v>
      </c>
      <c r="D8" s="1">
        <v>2.3180000000000001</v>
      </c>
      <c r="E8" s="1">
        <v>1.68</v>
      </c>
      <c r="F8" s="1">
        <v>2.2200000000000002</v>
      </c>
      <c r="G8" s="1">
        <v>1.224</v>
      </c>
      <c r="H8" s="1">
        <v>3.2519999999999998</v>
      </c>
      <c r="I8" s="1">
        <v>3.93</v>
      </c>
      <c r="J8" s="9"/>
    </row>
    <row r="9" spans="1:10" ht="18" x14ac:dyDescent="0.25">
      <c r="A9" s="21">
        <v>45029</v>
      </c>
      <c r="B9" s="8">
        <v>1.048</v>
      </c>
      <c r="C9" s="1">
        <v>2.2160000000000002</v>
      </c>
      <c r="D9" s="1">
        <v>2.3140000000000001</v>
      </c>
      <c r="E9" s="1">
        <v>2.1859999999999999</v>
      </c>
      <c r="F9" s="1">
        <v>2.1859999999999999</v>
      </c>
      <c r="G9" s="1">
        <v>1.228</v>
      </c>
      <c r="H9" s="1">
        <v>3.33</v>
      </c>
      <c r="I9" s="1">
        <v>4.0359999999999996</v>
      </c>
      <c r="J9" s="9"/>
    </row>
    <row r="10" spans="1:10" ht="18" x14ac:dyDescent="0.25">
      <c r="A10" s="21">
        <v>45030</v>
      </c>
      <c r="B10" s="8">
        <v>1.036</v>
      </c>
      <c r="C10" s="1">
        <v>2.262</v>
      </c>
      <c r="D10" s="1">
        <v>2.3159999999999998</v>
      </c>
      <c r="E10" s="1">
        <v>1.758</v>
      </c>
      <c r="F10" s="1">
        <v>2.2559999999999998</v>
      </c>
      <c r="G10" s="1">
        <v>1.292</v>
      </c>
      <c r="H10" s="1">
        <v>3.536</v>
      </c>
      <c r="I10" s="1">
        <v>4.0259999999999998</v>
      </c>
      <c r="J10" s="9"/>
    </row>
    <row r="11" spans="1:10" ht="18" x14ac:dyDescent="0.25">
      <c r="A11" s="21">
        <v>45033</v>
      </c>
      <c r="B11" s="8">
        <v>1.022</v>
      </c>
      <c r="C11" s="1">
        <v>2.246</v>
      </c>
      <c r="D11" s="1">
        <v>2.298</v>
      </c>
      <c r="E11" s="1">
        <v>1.754</v>
      </c>
      <c r="F11" s="1">
        <v>2.2879999999999998</v>
      </c>
      <c r="G11" s="1">
        <v>1.246</v>
      </c>
      <c r="H11" s="1">
        <v>3.5419999999999998</v>
      </c>
      <c r="I11" s="1">
        <v>4.1660000000000004</v>
      </c>
      <c r="J11" s="9"/>
    </row>
    <row r="12" spans="1:10" ht="18" x14ac:dyDescent="0.25">
      <c r="A12" s="21">
        <v>45034</v>
      </c>
      <c r="B12" s="8">
        <v>1.046</v>
      </c>
      <c r="C12" s="1">
        <v>2.278</v>
      </c>
      <c r="D12" s="1">
        <v>2.206</v>
      </c>
      <c r="E12" s="1">
        <v>1.75</v>
      </c>
      <c r="F12" s="1">
        <v>2.2519999999999998</v>
      </c>
      <c r="G12" s="1">
        <v>1.256</v>
      </c>
      <c r="H12" s="1">
        <v>3.3980000000000001</v>
      </c>
      <c r="I12" s="1">
        <v>3.97</v>
      </c>
      <c r="J12" s="9"/>
    </row>
    <row r="13" spans="1:10" ht="18" x14ac:dyDescent="0.25">
      <c r="A13" s="21">
        <v>45035</v>
      </c>
      <c r="B13" s="8">
        <v>1.02</v>
      </c>
      <c r="C13" s="1">
        <v>2.38</v>
      </c>
      <c r="D13" s="1">
        <v>2.2679999999999998</v>
      </c>
      <c r="E13" s="1">
        <v>1.8180000000000001</v>
      </c>
      <c r="F13" s="1">
        <v>2.3220000000000001</v>
      </c>
      <c r="G13" s="1">
        <v>1.286</v>
      </c>
      <c r="H13" s="1">
        <v>3.4159999999999999</v>
      </c>
      <c r="I13" s="1">
        <v>3.94</v>
      </c>
      <c r="J13" s="9"/>
    </row>
    <row r="14" spans="1:10" ht="18" x14ac:dyDescent="0.25">
      <c r="A14" s="21">
        <v>45036</v>
      </c>
      <c r="B14" s="8">
        <v>1.032</v>
      </c>
      <c r="C14" s="1">
        <v>2.262</v>
      </c>
      <c r="D14" s="1">
        <v>2.1840000000000002</v>
      </c>
      <c r="E14" s="1">
        <v>1.756</v>
      </c>
      <c r="F14" s="1">
        <v>2.27</v>
      </c>
      <c r="G14" s="1">
        <v>1.294</v>
      </c>
      <c r="H14" s="1">
        <v>3.4820000000000002</v>
      </c>
      <c r="I14" s="1">
        <v>4.024</v>
      </c>
      <c r="J14" s="9"/>
    </row>
    <row r="15" spans="1:10" ht="18" x14ac:dyDescent="0.25">
      <c r="A15" s="21">
        <v>45040</v>
      </c>
      <c r="B15" s="8">
        <v>1.036</v>
      </c>
      <c r="C15" s="1">
        <v>2.254</v>
      </c>
      <c r="D15" s="1">
        <v>2.3220000000000001</v>
      </c>
      <c r="E15" s="1">
        <v>1.6639999999999999</v>
      </c>
      <c r="F15" s="1">
        <v>2.2519999999999998</v>
      </c>
      <c r="G15" s="1">
        <v>1.224</v>
      </c>
      <c r="H15" s="1">
        <v>3.4159999999999999</v>
      </c>
      <c r="I15" s="1">
        <v>4.0199999999999996</v>
      </c>
      <c r="J15" s="9"/>
    </row>
    <row r="16" spans="1:10" ht="18" x14ac:dyDescent="0.25">
      <c r="A16" s="21">
        <v>45041</v>
      </c>
      <c r="B16" s="8">
        <v>1.0900000000000001</v>
      </c>
      <c r="C16" s="1">
        <v>2.3719999999999999</v>
      </c>
      <c r="D16" s="1">
        <v>5.29</v>
      </c>
      <c r="E16" s="1">
        <v>1.804</v>
      </c>
      <c r="F16" s="1">
        <v>2.3620000000000001</v>
      </c>
      <c r="G16" s="1">
        <v>1.262</v>
      </c>
      <c r="H16" s="1">
        <v>3.5419999999999998</v>
      </c>
      <c r="I16" s="1">
        <v>8.8320000000000007</v>
      </c>
      <c r="J16" s="9"/>
    </row>
    <row r="17" spans="1:10" ht="18" x14ac:dyDescent="0.25">
      <c r="A17" s="21">
        <v>45042</v>
      </c>
      <c r="B17" s="8">
        <v>1.0880000000000001</v>
      </c>
      <c r="C17" s="1">
        <v>2.38</v>
      </c>
      <c r="D17" s="1">
        <v>2.3220000000000001</v>
      </c>
      <c r="E17" s="1">
        <v>1.704</v>
      </c>
      <c r="F17" s="1">
        <v>2.2400000000000002</v>
      </c>
      <c r="G17" s="1">
        <v>1.3420000000000001</v>
      </c>
      <c r="H17" s="1">
        <v>3.68</v>
      </c>
      <c r="I17" s="1">
        <v>4.26</v>
      </c>
      <c r="J17" s="9"/>
    </row>
    <row r="18" spans="1:10" ht="18" x14ac:dyDescent="0.25">
      <c r="A18" s="21">
        <v>45043</v>
      </c>
      <c r="B18" s="8">
        <v>1.0660000000000001</v>
      </c>
      <c r="C18" s="1">
        <v>2.286</v>
      </c>
      <c r="D18" s="1">
        <v>2.27</v>
      </c>
      <c r="E18" s="1">
        <v>1.726</v>
      </c>
      <c r="F18" s="1">
        <v>2.2759999999999998</v>
      </c>
      <c r="G18" s="1">
        <v>1.25</v>
      </c>
      <c r="H18" s="1">
        <v>3.5259999999999998</v>
      </c>
      <c r="I18" s="1">
        <v>4.1079999999999997</v>
      </c>
      <c r="J18" s="9"/>
    </row>
    <row r="19" spans="1:10" ht="18" x14ac:dyDescent="0.25">
      <c r="A19" s="21">
        <v>45044</v>
      </c>
      <c r="B19" s="8">
        <v>1.0640000000000001</v>
      </c>
      <c r="C19" s="1">
        <v>2.3620000000000001</v>
      </c>
      <c r="D19" s="1">
        <v>2.3759999999999999</v>
      </c>
      <c r="E19" s="1">
        <v>1.736</v>
      </c>
      <c r="F19" s="1">
        <v>2.306</v>
      </c>
      <c r="G19" s="1">
        <v>1.274</v>
      </c>
      <c r="H19" s="1">
        <v>3.544</v>
      </c>
      <c r="I19" s="1">
        <v>3.992</v>
      </c>
      <c r="J19" s="9"/>
    </row>
    <row r="20" spans="1:10" ht="18" x14ac:dyDescent="0.25">
      <c r="A20" s="22"/>
      <c r="B20" s="8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9"/>
    </row>
    <row r="21" spans="1:10" ht="18" x14ac:dyDescent="0.25">
      <c r="A21" s="22"/>
      <c r="B21" s="8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9"/>
    </row>
    <row r="22" spans="1:10" ht="18" x14ac:dyDescent="0.25">
      <c r="A22" s="22"/>
      <c r="B22" s="8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9"/>
    </row>
    <row r="23" spans="1:10" ht="18" x14ac:dyDescent="0.25">
      <c r="A23" s="22"/>
      <c r="B23" s="8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9"/>
    </row>
    <row r="24" spans="1:10" ht="18" x14ac:dyDescent="0.25">
      <c r="A24" s="22"/>
      <c r="B24" s="8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9"/>
    </row>
    <row r="25" spans="1:10" ht="18.75" thickBot="1" x14ac:dyDescent="0.3">
      <c r="A25" s="23"/>
      <c r="B25" s="13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5"/>
    </row>
    <row r="26" spans="1:10" ht="19.5" thickBot="1" x14ac:dyDescent="0.3">
      <c r="B26" s="5">
        <f>SUM(B3:B25)</f>
        <v>17.715999999999998</v>
      </c>
      <c r="C26" s="5">
        <f t="shared" ref="C26:J26" si="0">SUM(C3:C25)</f>
        <v>38.766000000000005</v>
      </c>
      <c r="D26" s="5">
        <f t="shared" si="0"/>
        <v>41.166000000000004</v>
      </c>
      <c r="E26" s="5">
        <f>SUM(E3:E25)</f>
        <v>30.330000000000002</v>
      </c>
      <c r="F26" s="5">
        <f t="shared" si="0"/>
        <v>38.471999999999994</v>
      </c>
      <c r="G26" s="5">
        <f t="shared" si="0"/>
        <v>21.38</v>
      </c>
      <c r="H26" s="5">
        <f t="shared" si="0"/>
        <v>58.649999999999991</v>
      </c>
      <c r="I26" s="5">
        <f t="shared" si="0"/>
        <v>71.402000000000001</v>
      </c>
      <c r="J26" s="5">
        <f t="shared" si="0"/>
        <v>0</v>
      </c>
    </row>
    <row r="27" spans="1:10" ht="15.75" thickBot="1" x14ac:dyDescent="0.3">
      <c r="B27" s="2" t="s">
        <v>0</v>
      </c>
      <c r="C27" s="3" t="s">
        <v>1</v>
      </c>
      <c r="D27" s="2" t="s">
        <v>2</v>
      </c>
      <c r="E27" s="4" t="s">
        <v>3</v>
      </c>
      <c r="F27" s="2" t="s">
        <v>4</v>
      </c>
      <c r="G27" s="4" t="s">
        <v>5</v>
      </c>
      <c r="H27" s="2" t="s">
        <v>6</v>
      </c>
      <c r="I27" s="4" t="s">
        <v>7</v>
      </c>
      <c r="J27" s="2"/>
    </row>
    <row r="28" spans="1:10" ht="15.75" thickBot="1" x14ac:dyDescent="0.3"/>
    <row r="29" spans="1:10" ht="18.75" x14ac:dyDescent="0.3">
      <c r="B29" s="87" t="s">
        <v>8</v>
      </c>
      <c r="C29" s="88"/>
      <c r="D29" s="88"/>
      <c r="E29" s="87" t="s">
        <v>9</v>
      </c>
      <c r="F29" s="89"/>
      <c r="G29" s="88" t="s">
        <v>10</v>
      </c>
      <c r="H29" s="88"/>
      <c r="I29" s="89"/>
      <c r="J29" s="16"/>
    </row>
    <row r="30" spans="1:10" x14ac:dyDescent="0.25">
      <c r="B30" s="90">
        <f>B26+C26+D26</f>
        <v>97.647999999999996</v>
      </c>
      <c r="C30" s="91"/>
      <c r="D30" s="91"/>
      <c r="E30" s="90">
        <f>E26+F26</f>
        <v>68.801999999999992</v>
      </c>
      <c r="F30" s="94"/>
      <c r="G30" s="96">
        <f>G26+H26+I26</f>
        <v>151.43199999999999</v>
      </c>
      <c r="H30" s="91"/>
      <c r="I30" s="94"/>
      <c r="J30" s="102"/>
    </row>
    <row r="31" spans="1:10" ht="15.75" thickBot="1" x14ac:dyDescent="0.3">
      <c r="B31" s="92"/>
      <c r="C31" s="93"/>
      <c r="D31" s="93"/>
      <c r="E31" s="92"/>
      <c r="F31" s="95"/>
      <c r="G31" s="93"/>
      <c r="H31" s="93"/>
      <c r="I31" s="95"/>
      <c r="J31" s="98"/>
    </row>
  </sheetData>
  <mergeCells count="9">
    <mergeCell ref="A1:J1"/>
    <mergeCell ref="B2:J2"/>
    <mergeCell ref="J30:J31"/>
    <mergeCell ref="B30:D31"/>
    <mergeCell ref="B29:D29"/>
    <mergeCell ref="E29:F29"/>
    <mergeCell ref="G29:I29"/>
    <mergeCell ref="E30:F31"/>
    <mergeCell ref="G30:I31"/>
  </mergeCells>
  <pageMargins left="0.22" right="0.25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7"/>
  <sheetViews>
    <sheetView topLeftCell="A14" workbookViewId="0">
      <selection activeCell="N8" sqref="N8"/>
    </sheetView>
  </sheetViews>
  <sheetFormatPr defaultColWidth="10.7109375" defaultRowHeight="15" x14ac:dyDescent="0.25"/>
  <cols>
    <col min="1" max="1" width="15.140625" customWidth="1"/>
  </cols>
  <sheetData>
    <row r="1" spans="1:10" ht="33" customHeight="1" thickBot="1" x14ac:dyDescent="0.3">
      <c r="A1" s="44" t="s">
        <v>14</v>
      </c>
      <c r="B1" s="84" t="s">
        <v>17</v>
      </c>
      <c r="C1" s="85"/>
      <c r="D1" s="85"/>
      <c r="E1" s="85"/>
      <c r="F1" s="85"/>
      <c r="G1" s="85"/>
      <c r="H1" s="85"/>
      <c r="I1" s="85"/>
      <c r="J1" s="86"/>
    </row>
    <row r="2" spans="1:10" ht="15.75" x14ac:dyDescent="0.25">
      <c r="A2" s="30">
        <v>45048</v>
      </c>
      <c r="B2" s="31">
        <v>1.04</v>
      </c>
      <c r="C2" s="32">
        <v>2.298</v>
      </c>
      <c r="D2" s="32">
        <v>2.2559999999999998</v>
      </c>
      <c r="E2" s="32">
        <v>1.6819999999999999</v>
      </c>
      <c r="F2" s="32">
        <v>2.238</v>
      </c>
      <c r="G2" s="32">
        <v>1.272</v>
      </c>
      <c r="H2" s="32">
        <v>3.46</v>
      </c>
      <c r="I2" s="32">
        <v>3.9740000000000002</v>
      </c>
      <c r="J2" s="33"/>
    </row>
    <row r="3" spans="1:10" ht="15.75" x14ac:dyDescent="0.25">
      <c r="A3" s="29">
        <v>45049</v>
      </c>
      <c r="B3" s="24">
        <v>1.1120000000000001</v>
      </c>
      <c r="C3" s="25">
        <v>2.27</v>
      </c>
      <c r="D3" s="25">
        <v>2.2080000000000002</v>
      </c>
      <c r="E3" s="25">
        <v>1.6839999999999999</v>
      </c>
      <c r="F3" s="25">
        <v>2.242</v>
      </c>
      <c r="G3" s="25">
        <v>1.27</v>
      </c>
      <c r="H3" s="25">
        <v>3.4140000000000001</v>
      </c>
      <c r="I3" s="25">
        <v>3.944</v>
      </c>
      <c r="J3" s="26"/>
    </row>
    <row r="4" spans="1:10" ht="15.75" x14ac:dyDescent="0.25">
      <c r="A4" s="34">
        <v>45050</v>
      </c>
      <c r="B4" s="35">
        <v>1.032</v>
      </c>
      <c r="C4" s="36">
        <v>2.2519999999999998</v>
      </c>
      <c r="D4" s="36">
        <v>2.2719999999999998</v>
      </c>
      <c r="E4" s="36">
        <v>1.764</v>
      </c>
      <c r="F4" s="36">
        <v>2.36</v>
      </c>
      <c r="G4" s="36">
        <v>1.25</v>
      </c>
      <c r="H4" s="36">
        <v>3.3860000000000001</v>
      </c>
      <c r="I4" s="36">
        <v>3.944</v>
      </c>
      <c r="J4" s="37"/>
    </row>
    <row r="5" spans="1:10" ht="15.75" x14ac:dyDescent="0.25">
      <c r="A5" s="29">
        <v>45051</v>
      </c>
      <c r="B5" s="27">
        <v>1.016</v>
      </c>
      <c r="C5" s="25">
        <v>2.198</v>
      </c>
      <c r="D5" s="25">
        <v>2.206</v>
      </c>
      <c r="E5" s="25">
        <v>1.6339999999999999</v>
      </c>
      <c r="F5" s="25">
        <v>2.254</v>
      </c>
      <c r="G5" s="25">
        <v>1.206</v>
      </c>
      <c r="H5" s="25">
        <v>3.8519999999999999</v>
      </c>
      <c r="I5" s="25">
        <v>3.8519999999999999</v>
      </c>
      <c r="J5" s="28"/>
    </row>
    <row r="6" spans="1:10" ht="15.75" x14ac:dyDescent="0.25">
      <c r="A6" s="34">
        <v>45052</v>
      </c>
      <c r="B6" s="38">
        <v>2.0419999999999998</v>
      </c>
      <c r="C6" s="36">
        <v>11.44</v>
      </c>
      <c r="D6" s="36">
        <v>0</v>
      </c>
      <c r="E6" s="36">
        <v>0</v>
      </c>
      <c r="F6" s="36">
        <v>0</v>
      </c>
      <c r="G6" s="36">
        <v>0</v>
      </c>
      <c r="H6" s="36">
        <v>1.5760000000000001</v>
      </c>
      <c r="I6" s="36">
        <v>0</v>
      </c>
      <c r="J6" s="39"/>
    </row>
    <row r="7" spans="1:10" ht="15.75" x14ac:dyDescent="0.25">
      <c r="A7" s="29">
        <v>45054</v>
      </c>
      <c r="B7" s="27">
        <v>0.99199999999999999</v>
      </c>
      <c r="C7" s="25">
        <v>2.206</v>
      </c>
      <c r="D7" s="25">
        <v>2.282</v>
      </c>
      <c r="E7" s="25">
        <v>1.6659999999999999</v>
      </c>
      <c r="F7" s="25">
        <v>2.2160000000000002</v>
      </c>
      <c r="G7" s="25">
        <v>1.1659999999999999</v>
      </c>
      <c r="H7" s="25">
        <v>3.3420000000000001</v>
      </c>
      <c r="I7" s="25">
        <v>3.9180000000000001</v>
      </c>
      <c r="J7" s="28"/>
    </row>
    <row r="8" spans="1:10" ht="15.75" x14ac:dyDescent="0.25">
      <c r="A8" s="34">
        <v>45055</v>
      </c>
      <c r="B8" s="38">
        <v>1.0640000000000001</v>
      </c>
      <c r="C8" s="36">
        <v>2.242</v>
      </c>
      <c r="D8" s="36">
        <v>2.3540000000000001</v>
      </c>
      <c r="E8" s="36">
        <v>1.6659999999999999</v>
      </c>
      <c r="F8" s="36">
        <v>2.2320000000000002</v>
      </c>
      <c r="G8" s="36">
        <v>1.218</v>
      </c>
      <c r="H8" s="36">
        <v>3.3639999999999999</v>
      </c>
      <c r="I8" s="36">
        <v>8.5</v>
      </c>
      <c r="J8" s="39"/>
    </row>
    <row r="9" spans="1:10" ht="15.75" x14ac:dyDescent="0.25">
      <c r="A9" s="29">
        <v>45056</v>
      </c>
      <c r="B9" s="27">
        <v>1.02</v>
      </c>
      <c r="C9" s="25">
        <v>2.226</v>
      </c>
      <c r="D9" s="25">
        <v>2.3879999999999999</v>
      </c>
      <c r="E9" s="25">
        <v>1.8120000000000001</v>
      </c>
      <c r="F9" s="25">
        <v>2.4220000000000002</v>
      </c>
      <c r="G9" s="25">
        <v>1.254</v>
      </c>
      <c r="H9" s="25">
        <v>3.4740000000000002</v>
      </c>
      <c r="I9" s="25">
        <v>4.1340000000000003</v>
      </c>
      <c r="J9" s="28"/>
    </row>
    <row r="10" spans="1:10" ht="15.75" x14ac:dyDescent="0.25">
      <c r="A10" s="34">
        <v>45057</v>
      </c>
      <c r="B10" s="38">
        <v>1.0660000000000001</v>
      </c>
      <c r="C10" s="36">
        <v>2.3540000000000001</v>
      </c>
      <c r="D10" s="36">
        <v>2.37</v>
      </c>
      <c r="E10" s="36">
        <v>1.6819999999999999</v>
      </c>
      <c r="F10" s="36">
        <v>2.286</v>
      </c>
      <c r="G10" s="36">
        <v>1.294</v>
      </c>
      <c r="H10" s="36">
        <v>3.47</v>
      </c>
      <c r="I10" s="36">
        <v>4.1580000000000004</v>
      </c>
      <c r="J10" s="39"/>
    </row>
    <row r="11" spans="1:10" ht="15.75" x14ac:dyDescent="0.25">
      <c r="A11" s="29">
        <v>45058</v>
      </c>
      <c r="B11" s="27">
        <v>1.044</v>
      </c>
      <c r="C11" s="25">
        <v>2.3820000000000001</v>
      </c>
      <c r="D11" s="25">
        <v>2.4700000000000002</v>
      </c>
      <c r="E11" s="25">
        <v>1.8220000000000001</v>
      </c>
      <c r="F11" s="25">
        <v>2.3119999999999998</v>
      </c>
      <c r="G11" s="25">
        <v>1.266</v>
      </c>
      <c r="H11" s="25">
        <v>3.4940000000000002</v>
      </c>
      <c r="I11" s="25">
        <v>4.24</v>
      </c>
      <c r="J11" s="28"/>
    </row>
    <row r="12" spans="1:10" ht="15.75" x14ac:dyDescent="0.25">
      <c r="A12" s="34">
        <v>45061</v>
      </c>
      <c r="B12" s="38">
        <v>1.018</v>
      </c>
      <c r="C12" s="36">
        <v>2.266</v>
      </c>
      <c r="D12" s="36">
        <v>2.294</v>
      </c>
      <c r="E12" s="36">
        <v>1.696</v>
      </c>
      <c r="F12" s="36">
        <v>2.2200000000000002</v>
      </c>
      <c r="G12" s="36">
        <v>1.232</v>
      </c>
      <c r="H12" s="36">
        <v>3.41</v>
      </c>
      <c r="I12" s="36">
        <v>4.016</v>
      </c>
      <c r="J12" s="39"/>
    </row>
    <row r="13" spans="1:10" ht="15.75" x14ac:dyDescent="0.25">
      <c r="A13" s="29">
        <v>45062</v>
      </c>
      <c r="B13" s="27">
        <v>1.032</v>
      </c>
      <c r="C13" s="25">
        <v>2.31</v>
      </c>
      <c r="D13" s="25">
        <v>2.2759999999999998</v>
      </c>
      <c r="E13" s="25">
        <v>1.68</v>
      </c>
      <c r="F13" s="25">
        <v>2.2919999999999998</v>
      </c>
      <c r="G13" s="25">
        <v>1.27</v>
      </c>
      <c r="H13" s="25">
        <v>3.33</v>
      </c>
      <c r="I13" s="25">
        <v>3.94</v>
      </c>
      <c r="J13" s="28"/>
    </row>
    <row r="14" spans="1:10" ht="15.75" x14ac:dyDescent="0.25">
      <c r="A14" s="34">
        <v>45063</v>
      </c>
      <c r="B14" s="38">
        <v>1.0660000000000001</v>
      </c>
      <c r="C14" s="36">
        <v>2.226</v>
      </c>
      <c r="D14" s="36">
        <v>2.3959999999999999</v>
      </c>
      <c r="E14" s="36">
        <v>1.8540000000000001</v>
      </c>
      <c r="F14" s="36">
        <v>2.3639999999999999</v>
      </c>
      <c r="G14" s="36">
        <v>1.238</v>
      </c>
      <c r="H14" s="36">
        <v>3.57</v>
      </c>
      <c r="I14" s="36">
        <v>4.3419999999999996</v>
      </c>
      <c r="J14" s="39"/>
    </row>
    <row r="15" spans="1:10" ht="15.75" x14ac:dyDescent="0.25">
      <c r="A15" s="29">
        <v>45064</v>
      </c>
      <c r="B15" s="27">
        <v>1.04</v>
      </c>
      <c r="C15" s="25">
        <v>2.2559999999999998</v>
      </c>
      <c r="D15" s="25">
        <v>2.242</v>
      </c>
      <c r="E15" s="25">
        <v>1.742</v>
      </c>
      <c r="F15" s="25">
        <v>2.2200000000000002</v>
      </c>
      <c r="G15" s="25">
        <v>1.274</v>
      </c>
      <c r="H15" s="25">
        <v>3.3719999999999999</v>
      </c>
      <c r="I15" s="25">
        <v>4.0979999999999999</v>
      </c>
      <c r="J15" s="28"/>
    </row>
    <row r="16" spans="1:10" ht="15.75" x14ac:dyDescent="0.25">
      <c r="A16" s="34">
        <v>45065</v>
      </c>
      <c r="B16" s="38">
        <v>1.006</v>
      </c>
      <c r="C16" s="36">
        <v>2.3140000000000001</v>
      </c>
      <c r="D16" s="36">
        <v>2.2240000000000002</v>
      </c>
      <c r="E16" s="36">
        <v>1.704</v>
      </c>
      <c r="F16" s="36">
        <v>2.2519999999999998</v>
      </c>
      <c r="G16" s="36">
        <v>1.198</v>
      </c>
      <c r="H16" s="36">
        <v>3.4020000000000001</v>
      </c>
      <c r="I16" s="36">
        <v>3.8980000000000001</v>
      </c>
      <c r="J16" s="39"/>
    </row>
    <row r="17" spans="1:16" ht="15.75" x14ac:dyDescent="0.25">
      <c r="A17" s="29">
        <v>45068</v>
      </c>
      <c r="B17" s="27">
        <v>1.048</v>
      </c>
      <c r="C17" s="25">
        <v>2.3479999999999999</v>
      </c>
      <c r="D17" s="25">
        <v>2.2959999999999998</v>
      </c>
      <c r="E17" s="25">
        <v>1.764</v>
      </c>
      <c r="F17" s="25">
        <v>2.3660000000000001</v>
      </c>
      <c r="G17" s="25">
        <v>1.274</v>
      </c>
      <c r="H17" s="25">
        <v>3.5379999999999998</v>
      </c>
      <c r="I17" s="25">
        <v>4.1580000000000004</v>
      </c>
      <c r="J17" s="28"/>
    </row>
    <row r="18" spans="1:16" ht="15.75" x14ac:dyDescent="0.25">
      <c r="A18" s="34">
        <v>45069</v>
      </c>
      <c r="B18" s="38">
        <v>1.03</v>
      </c>
      <c r="C18" s="36">
        <v>2.274</v>
      </c>
      <c r="D18" s="36">
        <v>2.29</v>
      </c>
      <c r="E18" s="36">
        <v>1.712</v>
      </c>
      <c r="F18" s="36">
        <v>2.246</v>
      </c>
      <c r="G18" s="36">
        <v>1.246</v>
      </c>
      <c r="H18" s="36">
        <v>3.508</v>
      </c>
      <c r="I18" s="36">
        <v>4.0759999999999996</v>
      </c>
      <c r="J18" s="39"/>
    </row>
    <row r="19" spans="1:16" ht="15.75" x14ac:dyDescent="0.25">
      <c r="A19" s="29">
        <v>45070</v>
      </c>
      <c r="B19" s="27">
        <v>1.03</v>
      </c>
      <c r="C19" s="25">
        <v>2.3279999999999998</v>
      </c>
      <c r="D19" s="25">
        <v>2.33</v>
      </c>
      <c r="E19" s="25">
        <v>1.738</v>
      </c>
      <c r="F19" s="25">
        <v>2.46</v>
      </c>
      <c r="G19" s="25">
        <v>1.282</v>
      </c>
      <c r="H19" s="25">
        <v>3.456</v>
      </c>
      <c r="I19" s="25">
        <v>4.016</v>
      </c>
      <c r="J19" s="28"/>
    </row>
    <row r="20" spans="1:16" ht="15.75" x14ac:dyDescent="0.25">
      <c r="A20" s="34">
        <v>45071</v>
      </c>
      <c r="B20" s="38">
        <v>0.98799999999999999</v>
      </c>
      <c r="C20" s="36">
        <v>2.27</v>
      </c>
      <c r="D20" s="36">
        <v>2.274</v>
      </c>
      <c r="E20" s="36">
        <v>1.736</v>
      </c>
      <c r="F20" s="36">
        <v>2.2959999999999998</v>
      </c>
      <c r="G20" s="36">
        <v>1.242</v>
      </c>
      <c r="H20" s="36">
        <v>3.4980000000000002</v>
      </c>
      <c r="I20" s="36">
        <v>3.88</v>
      </c>
      <c r="J20" s="39"/>
    </row>
    <row r="21" spans="1:16" ht="15.75" x14ac:dyDescent="0.25">
      <c r="A21" s="29">
        <v>45072</v>
      </c>
      <c r="B21" s="27">
        <v>1.008</v>
      </c>
      <c r="C21" s="25">
        <v>2.2080000000000002</v>
      </c>
      <c r="D21" s="25">
        <v>2.218</v>
      </c>
      <c r="E21" s="25">
        <v>1.6180000000000001</v>
      </c>
      <c r="F21" s="25">
        <v>2.222</v>
      </c>
      <c r="G21" s="25">
        <v>1.242</v>
      </c>
      <c r="H21" s="25">
        <v>3.3220000000000001</v>
      </c>
      <c r="I21" s="25">
        <v>3.92</v>
      </c>
      <c r="J21" s="28"/>
    </row>
    <row r="22" spans="1:16" ht="15.75" x14ac:dyDescent="0.25">
      <c r="A22" s="34">
        <v>45075</v>
      </c>
      <c r="B22" s="38">
        <v>1.1100000000000001</v>
      </c>
      <c r="C22" s="36">
        <v>2.3940000000000001</v>
      </c>
      <c r="D22" s="36">
        <v>2.3519999999999999</v>
      </c>
      <c r="E22" s="36">
        <v>1.74</v>
      </c>
      <c r="F22" s="36">
        <v>2.3260000000000001</v>
      </c>
      <c r="G22" s="36">
        <v>1.256</v>
      </c>
      <c r="H22" s="36">
        <v>3.5680000000000001</v>
      </c>
      <c r="I22" s="36">
        <v>3.9740000000000002</v>
      </c>
      <c r="J22" s="39"/>
    </row>
    <row r="23" spans="1:16" ht="15.75" x14ac:dyDescent="0.25">
      <c r="A23" s="29">
        <v>45076</v>
      </c>
      <c r="B23" s="27">
        <v>1.0820000000000001</v>
      </c>
      <c r="C23" s="25">
        <v>2.25</v>
      </c>
      <c r="D23" s="25">
        <v>2.3319999999999999</v>
      </c>
      <c r="E23" s="25">
        <v>1.744</v>
      </c>
      <c r="F23" s="25">
        <v>2.4</v>
      </c>
      <c r="G23" s="25">
        <v>1.254</v>
      </c>
      <c r="H23" s="25">
        <v>3.45</v>
      </c>
      <c r="I23" s="25">
        <v>4.07</v>
      </c>
      <c r="J23" s="28"/>
    </row>
    <row r="24" spans="1:16" ht="16.5" thickBot="1" x14ac:dyDescent="0.3">
      <c r="A24" s="40">
        <v>45077</v>
      </c>
      <c r="B24" s="41">
        <v>1.0640000000000001</v>
      </c>
      <c r="C24" s="42">
        <v>2.3199999999999998</v>
      </c>
      <c r="D24" s="42">
        <v>2.3439999999999999</v>
      </c>
      <c r="E24" s="42">
        <v>1.8520000000000001</v>
      </c>
      <c r="F24" s="42">
        <v>2.3420000000000001</v>
      </c>
      <c r="G24" s="42">
        <v>1.296</v>
      </c>
      <c r="H24" s="42">
        <v>3.55</v>
      </c>
      <c r="I24" s="42">
        <v>4.2460000000000004</v>
      </c>
      <c r="J24" s="43"/>
    </row>
    <row r="25" spans="1:16" ht="19.5" thickBot="1" x14ac:dyDescent="0.3">
      <c r="B25" s="5">
        <f>SUM(B2:B24)</f>
        <v>24.950000000000006</v>
      </c>
      <c r="C25" s="5">
        <f t="shared" ref="C25:J25" si="0">SUM(C2:C24)</f>
        <v>61.632000000000005</v>
      </c>
      <c r="D25" s="5">
        <f t="shared" si="0"/>
        <v>50.673999999999999</v>
      </c>
      <c r="E25" s="5">
        <f>SUM(E2:E24)</f>
        <v>37.991999999999997</v>
      </c>
      <c r="F25" s="5">
        <f t="shared" si="0"/>
        <v>50.567999999999998</v>
      </c>
      <c r="G25" s="5">
        <f t="shared" si="0"/>
        <v>27.5</v>
      </c>
      <c r="H25" s="5">
        <f t="shared" si="0"/>
        <v>77.805999999999997</v>
      </c>
      <c r="I25" s="5">
        <f t="shared" si="0"/>
        <v>93.297999999999988</v>
      </c>
      <c r="J25" s="5">
        <f t="shared" si="0"/>
        <v>0</v>
      </c>
    </row>
    <row r="26" spans="1:16" ht="15.75" thickBot="1" x14ac:dyDescent="0.3">
      <c r="B26" s="2" t="s">
        <v>0</v>
      </c>
      <c r="C26" s="3" t="s">
        <v>1</v>
      </c>
      <c r="D26" s="2" t="s">
        <v>2</v>
      </c>
      <c r="E26" s="4" t="s">
        <v>3</v>
      </c>
      <c r="F26" s="2" t="s">
        <v>4</v>
      </c>
      <c r="G26" s="4" t="s">
        <v>5</v>
      </c>
      <c r="H26" s="2" t="s">
        <v>6</v>
      </c>
      <c r="I26" s="4" t="s">
        <v>7</v>
      </c>
      <c r="J26" s="2"/>
    </row>
    <row r="27" spans="1:16" ht="15.75" thickBot="1" x14ac:dyDescent="0.3"/>
    <row r="28" spans="1:16" ht="18.75" x14ac:dyDescent="0.3">
      <c r="B28" s="87" t="s">
        <v>8</v>
      </c>
      <c r="C28" s="88"/>
      <c r="D28" s="88"/>
      <c r="E28" s="87" t="s">
        <v>9</v>
      </c>
      <c r="F28" s="89"/>
      <c r="G28" s="88" t="s">
        <v>10</v>
      </c>
      <c r="H28" s="88"/>
      <c r="I28" s="89"/>
      <c r="J28" s="16"/>
    </row>
    <row r="29" spans="1:16" x14ac:dyDescent="0.25">
      <c r="B29" s="90">
        <f>B25+C25+D25</f>
        <v>137.256</v>
      </c>
      <c r="C29" s="91"/>
      <c r="D29" s="91"/>
      <c r="E29" s="90">
        <f>E25+F25</f>
        <v>88.56</v>
      </c>
      <c r="F29" s="94"/>
      <c r="G29" s="96">
        <f>G25+H25+I25</f>
        <v>198.60399999999998</v>
      </c>
      <c r="H29" s="91"/>
      <c r="I29" s="94"/>
      <c r="J29" s="102"/>
    </row>
    <row r="30" spans="1:16" ht="15.75" thickBot="1" x14ac:dyDescent="0.3">
      <c r="B30" s="92"/>
      <c r="C30" s="93"/>
      <c r="D30" s="93"/>
      <c r="E30" s="92"/>
      <c r="F30" s="95"/>
      <c r="G30" s="93"/>
      <c r="H30" s="93"/>
      <c r="I30" s="95"/>
      <c r="J30" s="98"/>
      <c r="P30" t="s">
        <v>15</v>
      </c>
    </row>
    <row r="34" spans="4:8" ht="15.75" x14ac:dyDescent="0.25">
      <c r="G34" s="46">
        <f>B29+H35</f>
        <v>140.816</v>
      </c>
    </row>
    <row r="35" spans="4:8" x14ac:dyDescent="0.25">
      <c r="H35" s="45">
        <f>E29-85</f>
        <v>3.5600000000000023</v>
      </c>
    </row>
    <row r="36" spans="4:8" x14ac:dyDescent="0.25">
      <c r="D36">
        <f>143.73+85</f>
        <v>228.73</v>
      </c>
    </row>
    <row r="37" spans="4:8" x14ac:dyDescent="0.25">
      <c r="D37" s="45">
        <f>B29+E29</f>
        <v>225.816</v>
      </c>
    </row>
  </sheetData>
  <mergeCells count="8">
    <mergeCell ref="B1:J1"/>
    <mergeCell ref="B28:D28"/>
    <mergeCell ref="E28:F28"/>
    <mergeCell ref="G28:I28"/>
    <mergeCell ref="B29:D30"/>
    <mergeCell ref="E29:F30"/>
    <mergeCell ref="G29:I30"/>
    <mergeCell ref="J29:J3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7"/>
  <sheetViews>
    <sheetView workbookViewId="0">
      <selection activeCell="B1" sqref="B1:J1"/>
    </sheetView>
  </sheetViews>
  <sheetFormatPr defaultColWidth="10.7109375" defaultRowHeight="15" x14ac:dyDescent="0.25"/>
  <cols>
    <col min="1" max="1" width="15.140625" customWidth="1"/>
    <col min="2" max="2" width="12" bestFit="1" customWidth="1"/>
  </cols>
  <sheetData>
    <row r="1" spans="1:10" ht="33" customHeight="1" thickBot="1" x14ac:dyDescent="0.3">
      <c r="A1" s="44" t="s">
        <v>14</v>
      </c>
      <c r="B1" s="84" t="s">
        <v>18</v>
      </c>
      <c r="C1" s="85"/>
      <c r="D1" s="85"/>
      <c r="E1" s="85"/>
      <c r="F1" s="85"/>
      <c r="G1" s="85"/>
      <c r="H1" s="85"/>
      <c r="I1" s="85"/>
      <c r="J1" s="86"/>
    </row>
    <row r="2" spans="1:10" ht="15.75" x14ac:dyDescent="0.25">
      <c r="A2" s="30">
        <v>45078</v>
      </c>
      <c r="B2" s="31">
        <v>1.08</v>
      </c>
      <c r="C2" s="32">
        <v>2.36</v>
      </c>
      <c r="D2" s="32">
        <v>2.3879999999999999</v>
      </c>
      <c r="E2" s="32">
        <v>1.78</v>
      </c>
      <c r="F2" s="32">
        <v>2.4220000000000002</v>
      </c>
      <c r="G2" s="32">
        <v>1.304</v>
      </c>
      <c r="H2" s="32">
        <v>3.58</v>
      </c>
      <c r="I2" s="32">
        <v>4.1340000000000003</v>
      </c>
      <c r="J2" s="33"/>
    </row>
    <row r="3" spans="1:10" ht="15.75" x14ac:dyDescent="0.25">
      <c r="A3" s="29">
        <v>45079</v>
      </c>
      <c r="B3" s="24">
        <v>1.0580000000000001</v>
      </c>
      <c r="C3" s="25">
        <v>2.3340000000000001</v>
      </c>
      <c r="D3" s="25">
        <v>2.36</v>
      </c>
      <c r="E3" s="25">
        <v>1.728</v>
      </c>
      <c r="F3" s="25">
        <v>2.3980000000000001</v>
      </c>
      <c r="G3" s="25">
        <v>1.266</v>
      </c>
      <c r="H3" s="25">
        <v>3.4620000000000002</v>
      </c>
      <c r="I3" s="25">
        <v>3.9620000000000002</v>
      </c>
      <c r="J3" s="26"/>
    </row>
    <row r="4" spans="1:10" ht="15.75" x14ac:dyDescent="0.25">
      <c r="A4" s="34">
        <v>45082</v>
      </c>
      <c r="B4" s="35">
        <v>1.052</v>
      </c>
      <c r="C4" s="36">
        <v>2.1819999999999999</v>
      </c>
      <c r="D4" s="36">
        <v>2.3180000000000001</v>
      </c>
      <c r="E4" s="36">
        <v>1.752</v>
      </c>
      <c r="F4" s="36">
        <v>2.2999999999999998</v>
      </c>
      <c r="G4" s="36">
        <v>1.29</v>
      </c>
      <c r="H4" s="36">
        <v>3.2519999999999998</v>
      </c>
      <c r="I4" s="36">
        <v>4.0880000000000001</v>
      </c>
      <c r="J4" s="37"/>
    </row>
    <row r="5" spans="1:10" ht="15.75" x14ac:dyDescent="0.25">
      <c r="A5" s="29">
        <v>45083</v>
      </c>
      <c r="B5" s="27">
        <v>1.07</v>
      </c>
      <c r="C5" s="25">
        <v>2.3740000000000001</v>
      </c>
      <c r="D5" s="25">
        <v>2.3479999999999999</v>
      </c>
      <c r="E5" s="25">
        <v>1.8560000000000001</v>
      </c>
      <c r="F5" s="25">
        <v>2.38</v>
      </c>
      <c r="G5" s="25">
        <v>1.286</v>
      </c>
      <c r="H5" s="25">
        <v>3.55</v>
      </c>
      <c r="I5" s="25">
        <v>4.2240000000000002</v>
      </c>
      <c r="J5" s="28"/>
    </row>
    <row r="6" spans="1:10" ht="15.75" x14ac:dyDescent="0.25">
      <c r="A6" s="34">
        <v>45084</v>
      </c>
      <c r="B6" s="38">
        <v>1.288</v>
      </c>
      <c r="C6" s="36">
        <v>2.278</v>
      </c>
      <c r="D6" s="36">
        <v>2.36</v>
      </c>
      <c r="E6" s="36">
        <v>1.76</v>
      </c>
      <c r="F6" s="36">
        <v>2.302</v>
      </c>
      <c r="G6" s="36">
        <v>1.288</v>
      </c>
      <c r="H6" s="36">
        <v>3.54</v>
      </c>
      <c r="I6" s="36">
        <v>4.1040000000000001</v>
      </c>
      <c r="J6" s="39"/>
    </row>
    <row r="7" spans="1:10" ht="15.75" x14ac:dyDescent="0.25">
      <c r="A7" s="29">
        <v>45089</v>
      </c>
      <c r="B7" s="27">
        <v>1.07</v>
      </c>
      <c r="C7" s="25">
        <v>2.4159999999999999</v>
      </c>
      <c r="D7" s="25">
        <v>2.4159999999999999</v>
      </c>
      <c r="E7" s="25">
        <v>1.8080000000000001</v>
      </c>
      <c r="F7" s="25">
        <v>2.4460000000000002</v>
      </c>
      <c r="G7" s="25">
        <v>1.33</v>
      </c>
      <c r="H7" s="25">
        <v>3.5859999999999999</v>
      </c>
      <c r="I7" s="25">
        <v>4.0419999999999998</v>
      </c>
      <c r="J7" s="28"/>
    </row>
    <row r="8" spans="1:10" ht="15.75" x14ac:dyDescent="0.25">
      <c r="A8" s="34">
        <v>45090</v>
      </c>
      <c r="B8" s="38">
        <v>1.0940000000000001</v>
      </c>
      <c r="C8" s="36">
        <v>2.3919999999999999</v>
      </c>
      <c r="D8" s="36">
        <v>2.3340000000000001</v>
      </c>
      <c r="E8" s="36">
        <v>1.804</v>
      </c>
      <c r="F8" s="36">
        <v>2.3319999999999999</v>
      </c>
      <c r="G8" s="36">
        <v>1.3360000000000001</v>
      </c>
      <c r="H8" s="36">
        <v>3.6120000000000001</v>
      </c>
      <c r="I8" s="36">
        <v>4.2060000000000004</v>
      </c>
      <c r="J8" s="39"/>
    </row>
    <row r="9" spans="1:10" ht="15.75" x14ac:dyDescent="0.25">
      <c r="A9" s="29">
        <v>45091</v>
      </c>
      <c r="B9" s="27">
        <v>1.1140000000000001</v>
      </c>
      <c r="C9" s="25">
        <v>2.4140000000000001</v>
      </c>
      <c r="D9" s="25">
        <v>2.4500000000000002</v>
      </c>
      <c r="E9" s="25">
        <v>1.8620000000000001</v>
      </c>
      <c r="F9" s="25">
        <v>2.504</v>
      </c>
      <c r="G9" s="25">
        <v>1.3480000000000001</v>
      </c>
      <c r="H9" s="25">
        <v>3.69</v>
      </c>
      <c r="I9" s="25">
        <v>4.29</v>
      </c>
      <c r="J9" s="28"/>
    </row>
    <row r="10" spans="1:10" ht="15.75" x14ac:dyDescent="0.25">
      <c r="A10" s="34">
        <v>45092</v>
      </c>
      <c r="B10" s="38">
        <v>1.1060000000000001</v>
      </c>
      <c r="C10" s="36">
        <v>2.7440000000000002</v>
      </c>
      <c r="D10" s="36">
        <v>2.3980000000000001</v>
      </c>
      <c r="E10" s="36">
        <v>1.8560000000000001</v>
      </c>
      <c r="F10" s="36">
        <v>2.3940000000000001</v>
      </c>
      <c r="G10" s="36">
        <v>0.86199999999999999</v>
      </c>
      <c r="H10" s="36">
        <v>3.66</v>
      </c>
      <c r="I10" s="36">
        <v>4.218</v>
      </c>
      <c r="J10" s="39"/>
    </row>
    <row r="11" spans="1:10" ht="15.75" x14ac:dyDescent="0.25">
      <c r="A11" s="29">
        <v>45093</v>
      </c>
      <c r="B11" s="27">
        <v>1.1160000000000001</v>
      </c>
      <c r="C11" s="25">
        <v>2.8719999999999999</v>
      </c>
      <c r="D11" s="25">
        <v>2.484</v>
      </c>
      <c r="E11" s="25">
        <v>1.782</v>
      </c>
      <c r="F11" s="25">
        <v>2.3639999999999999</v>
      </c>
      <c r="G11" s="25">
        <v>0.94199999999999995</v>
      </c>
      <c r="H11" s="25">
        <v>3.6520000000000001</v>
      </c>
      <c r="I11" s="25">
        <v>4.2439999999999998</v>
      </c>
      <c r="J11" s="28"/>
    </row>
    <row r="12" spans="1:10" ht="15.75" x14ac:dyDescent="0.25">
      <c r="A12" s="34">
        <v>45096</v>
      </c>
      <c r="B12" s="38">
        <v>1.056</v>
      </c>
      <c r="C12" s="36">
        <v>2.468</v>
      </c>
      <c r="D12" s="36">
        <v>2.3039999999999998</v>
      </c>
      <c r="E12" s="36">
        <v>1.73</v>
      </c>
      <c r="F12" s="36">
        <v>2.34</v>
      </c>
      <c r="G12" s="36">
        <v>0.81</v>
      </c>
      <c r="H12" s="36">
        <v>3.3879999999999999</v>
      </c>
      <c r="I12" s="36">
        <v>3.9420000000000002</v>
      </c>
      <c r="J12" s="39"/>
    </row>
    <row r="13" spans="1:10" ht="15.75" x14ac:dyDescent="0.25">
      <c r="A13" s="29">
        <v>45097</v>
      </c>
      <c r="B13" s="27">
        <v>0.998</v>
      </c>
      <c r="C13" s="25">
        <v>2.504</v>
      </c>
      <c r="D13" s="25">
        <v>2.86</v>
      </c>
      <c r="E13" s="25">
        <v>1.6160000000000001</v>
      </c>
      <c r="F13" s="25">
        <v>2.1779999999999999</v>
      </c>
      <c r="G13" s="25">
        <v>0.80200000000000005</v>
      </c>
      <c r="H13" s="25">
        <v>3.3740000000000001</v>
      </c>
      <c r="I13" s="25">
        <v>3.85</v>
      </c>
      <c r="J13" s="28"/>
    </row>
    <row r="14" spans="1:10" ht="15.75" x14ac:dyDescent="0.25">
      <c r="A14" s="34">
        <v>45098</v>
      </c>
      <c r="B14" s="38">
        <v>0.99199999999999999</v>
      </c>
      <c r="C14" s="36">
        <v>2.5259999999999998</v>
      </c>
      <c r="D14" s="36">
        <v>2.1800000000000002</v>
      </c>
      <c r="E14" s="36">
        <v>1.66</v>
      </c>
      <c r="F14" s="36">
        <v>2.1859999999999999</v>
      </c>
      <c r="G14" s="36">
        <v>0.82199999999999995</v>
      </c>
      <c r="H14" s="36">
        <v>3.2639999999999998</v>
      </c>
      <c r="I14" s="36">
        <v>3.9079999999999999</v>
      </c>
      <c r="J14" s="39"/>
    </row>
    <row r="15" spans="1:10" ht="15.75" x14ac:dyDescent="0.25">
      <c r="A15" s="29">
        <v>45099</v>
      </c>
      <c r="B15" s="27">
        <v>1.018</v>
      </c>
      <c r="C15" s="25">
        <v>2.6019999999999999</v>
      </c>
      <c r="D15" s="25">
        <v>2.2000000000000002</v>
      </c>
      <c r="E15" s="25">
        <v>1.7</v>
      </c>
      <c r="F15" s="25">
        <v>2.2400000000000002</v>
      </c>
      <c r="G15" s="25">
        <v>0.78800000000000003</v>
      </c>
      <c r="H15" s="25">
        <v>3.4220000000000002</v>
      </c>
      <c r="I15" s="25">
        <v>3.93</v>
      </c>
      <c r="J15" s="28"/>
    </row>
    <row r="16" spans="1:10" ht="15.75" x14ac:dyDescent="0.25">
      <c r="A16" s="34">
        <v>45100</v>
      </c>
      <c r="B16" s="38">
        <v>1.002</v>
      </c>
      <c r="C16" s="36">
        <v>2.4279999999999999</v>
      </c>
      <c r="D16" s="36">
        <v>2.2559999999999998</v>
      </c>
      <c r="E16" s="36">
        <v>1.6879999999999999</v>
      </c>
      <c r="F16" s="36">
        <v>2.25</v>
      </c>
      <c r="G16" s="36">
        <v>0.81399999999999995</v>
      </c>
      <c r="H16" s="36">
        <v>3.32</v>
      </c>
      <c r="I16" s="36">
        <v>3.782</v>
      </c>
      <c r="J16" s="39"/>
    </row>
    <row r="17" spans="1:16" ht="15.75" x14ac:dyDescent="0.25">
      <c r="A17" s="29">
        <v>45103</v>
      </c>
      <c r="B17" s="27">
        <v>1.052</v>
      </c>
      <c r="C17" s="25">
        <v>2.6</v>
      </c>
      <c r="D17" s="25">
        <v>2.23</v>
      </c>
      <c r="E17" s="25">
        <v>1.6679999999999999</v>
      </c>
      <c r="F17" s="25">
        <v>2.2280000000000002</v>
      </c>
      <c r="G17" s="25">
        <v>0.87</v>
      </c>
      <c r="H17" s="25">
        <v>3.3820000000000001</v>
      </c>
      <c r="I17" s="25">
        <v>3.94</v>
      </c>
      <c r="J17" s="28"/>
    </row>
    <row r="18" spans="1:16" ht="15.75" x14ac:dyDescent="0.25">
      <c r="A18" s="34">
        <v>45104</v>
      </c>
      <c r="B18" s="38">
        <v>1.06</v>
      </c>
      <c r="C18" s="36">
        <v>2.6259999999999999</v>
      </c>
      <c r="D18" s="36">
        <v>2.3540000000000001</v>
      </c>
      <c r="E18" s="36">
        <v>1.6279999999999999</v>
      </c>
      <c r="F18" s="36">
        <v>2.3740000000000001</v>
      </c>
      <c r="G18" s="36">
        <v>0.81399999999999995</v>
      </c>
      <c r="H18" s="36">
        <v>3.488</v>
      </c>
      <c r="I18" s="36">
        <v>4.08</v>
      </c>
      <c r="J18" s="39"/>
    </row>
    <row r="19" spans="1:16" ht="15.75" x14ac:dyDescent="0.25">
      <c r="A19" s="29">
        <v>45105</v>
      </c>
      <c r="B19" s="27">
        <v>0.99399999999999999</v>
      </c>
      <c r="C19" s="25">
        <v>2.504</v>
      </c>
      <c r="D19" s="25">
        <v>2.2280000000000002</v>
      </c>
      <c r="E19" s="25">
        <v>1.764</v>
      </c>
      <c r="F19" s="25">
        <v>2.19</v>
      </c>
      <c r="G19" s="25">
        <v>0.79400000000000004</v>
      </c>
      <c r="H19" s="25">
        <v>3.3559999999999999</v>
      </c>
      <c r="I19" s="25">
        <v>3.92</v>
      </c>
      <c r="J19" s="28"/>
    </row>
    <row r="20" spans="1:16" ht="15.75" x14ac:dyDescent="0.25">
      <c r="A20" s="34">
        <v>45106</v>
      </c>
      <c r="B20" s="38">
        <v>1.0580000000000001</v>
      </c>
      <c r="C20" s="36">
        <v>2.6779999999999999</v>
      </c>
      <c r="D20" s="36">
        <v>2.266</v>
      </c>
      <c r="E20" s="36">
        <v>1.746</v>
      </c>
      <c r="F20" s="36">
        <v>2.3279999999999998</v>
      </c>
      <c r="G20" s="36">
        <v>0.82599999999999996</v>
      </c>
      <c r="H20" s="36">
        <v>3.49</v>
      </c>
      <c r="I20" s="36">
        <v>3.9980000000000002</v>
      </c>
      <c r="J20" s="39"/>
    </row>
    <row r="21" spans="1:16" ht="15.75" x14ac:dyDescent="0.25">
      <c r="A21" s="29">
        <v>45107</v>
      </c>
      <c r="B21" s="27">
        <v>1.002</v>
      </c>
      <c r="C21" s="25">
        <v>2.5459999999999998</v>
      </c>
      <c r="D21" s="25">
        <v>2.3260000000000001</v>
      </c>
      <c r="E21" s="25">
        <v>1.7</v>
      </c>
      <c r="F21" s="25">
        <v>2.2320000000000002</v>
      </c>
      <c r="G21" s="25">
        <v>0.78600000000000003</v>
      </c>
      <c r="H21" s="25">
        <v>3.3359999999999999</v>
      </c>
      <c r="I21" s="25">
        <v>3.976</v>
      </c>
      <c r="J21" s="28"/>
    </row>
    <row r="22" spans="1:16" ht="15.75" x14ac:dyDescent="0.25">
      <c r="A22" s="34"/>
      <c r="B22" s="38"/>
      <c r="C22" s="36"/>
      <c r="D22" s="36"/>
      <c r="E22" s="36"/>
      <c r="F22" s="36"/>
      <c r="G22" s="36"/>
      <c r="H22" s="36"/>
      <c r="I22" s="36"/>
      <c r="J22" s="39"/>
    </row>
    <row r="23" spans="1:16" ht="15.75" x14ac:dyDescent="0.25">
      <c r="A23" s="29"/>
      <c r="B23" s="27"/>
      <c r="C23" s="25"/>
      <c r="D23" s="25"/>
      <c r="E23" s="25"/>
      <c r="F23" s="25"/>
      <c r="G23" s="25"/>
      <c r="H23" s="25"/>
      <c r="I23" s="25"/>
      <c r="J23" s="28"/>
    </row>
    <row r="24" spans="1:16" ht="16.5" thickBot="1" x14ac:dyDescent="0.3">
      <c r="A24" s="40"/>
      <c r="B24" s="41"/>
      <c r="C24" s="42"/>
      <c r="D24" s="42"/>
      <c r="E24" s="42"/>
      <c r="F24" s="42"/>
      <c r="G24" s="42"/>
      <c r="H24" s="42"/>
      <c r="I24" s="42"/>
      <c r="J24" s="43"/>
    </row>
    <row r="25" spans="1:16" ht="19.5" thickBot="1" x14ac:dyDescent="0.3">
      <c r="B25" s="5">
        <f>SUM(B2:B24)</f>
        <v>21.279999999999994</v>
      </c>
      <c r="C25" s="5">
        <f t="shared" ref="C25:J25" si="0">SUM(C2:C24)</f>
        <v>49.847999999999992</v>
      </c>
      <c r="D25" s="5">
        <f t="shared" si="0"/>
        <v>47.059999999999988</v>
      </c>
      <c r="E25" s="5">
        <f>SUM(E2:E24)</f>
        <v>34.887999999999998</v>
      </c>
      <c r="F25" s="5">
        <f t="shared" si="0"/>
        <v>46.388000000000005</v>
      </c>
      <c r="G25" s="5">
        <f t="shared" si="0"/>
        <v>20.378000000000004</v>
      </c>
      <c r="H25" s="5">
        <f t="shared" si="0"/>
        <v>69.403999999999996</v>
      </c>
      <c r="I25" s="5">
        <f t="shared" si="0"/>
        <v>80.838000000000008</v>
      </c>
      <c r="J25" s="5">
        <f t="shared" si="0"/>
        <v>0</v>
      </c>
    </row>
    <row r="26" spans="1:16" ht="15.75" thickBot="1" x14ac:dyDescent="0.3">
      <c r="B26" s="2" t="s">
        <v>0</v>
      </c>
      <c r="C26" s="3" t="s">
        <v>1</v>
      </c>
      <c r="D26" s="2" t="s">
        <v>2</v>
      </c>
      <c r="E26" s="4" t="s">
        <v>3</v>
      </c>
      <c r="F26" s="2" t="s">
        <v>4</v>
      </c>
      <c r="G26" s="4" t="s">
        <v>5</v>
      </c>
      <c r="H26" s="2" t="s">
        <v>6</v>
      </c>
      <c r="I26" s="4" t="s">
        <v>7</v>
      </c>
      <c r="J26" s="2"/>
    </row>
    <row r="27" spans="1:16" ht="15.75" thickBot="1" x14ac:dyDescent="0.3"/>
    <row r="28" spans="1:16" ht="18.75" x14ac:dyDescent="0.3">
      <c r="B28" s="87" t="s">
        <v>8</v>
      </c>
      <c r="C28" s="88"/>
      <c r="D28" s="88"/>
      <c r="E28" s="87" t="s">
        <v>9</v>
      </c>
      <c r="F28" s="89"/>
      <c r="G28" s="88" t="s">
        <v>10</v>
      </c>
      <c r="H28" s="88"/>
      <c r="I28" s="89"/>
      <c r="J28" s="16"/>
    </row>
    <row r="29" spans="1:16" x14ac:dyDescent="0.25">
      <c r="B29" s="90">
        <f>B25+C25+D25</f>
        <v>118.18799999999997</v>
      </c>
      <c r="C29" s="91"/>
      <c r="D29" s="91"/>
      <c r="E29" s="90">
        <f>E25+F25</f>
        <v>81.27600000000001</v>
      </c>
      <c r="F29" s="94"/>
      <c r="G29" s="96">
        <f>G25+H25+I25</f>
        <v>170.62</v>
      </c>
      <c r="H29" s="91"/>
      <c r="I29" s="94"/>
      <c r="J29" s="102"/>
    </row>
    <row r="30" spans="1:16" ht="15.75" thickBot="1" x14ac:dyDescent="0.3">
      <c r="B30" s="92"/>
      <c r="C30" s="93"/>
      <c r="D30" s="93"/>
      <c r="E30" s="92"/>
      <c r="F30" s="95"/>
      <c r="G30" s="93"/>
      <c r="H30" s="93"/>
      <c r="I30" s="95"/>
      <c r="J30" s="98"/>
      <c r="P30" t="s">
        <v>15</v>
      </c>
    </row>
    <row r="34" spans="4:8" ht="15.75" x14ac:dyDescent="0.25">
      <c r="G34" s="46"/>
    </row>
    <row r="35" spans="4:8" x14ac:dyDescent="0.25">
      <c r="H35" s="45"/>
    </row>
    <row r="37" spans="4:8" x14ac:dyDescent="0.25">
      <c r="D37" s="45"/>
    </row>
  </sheetData>
  <mergeCells count="8">
    <mergeCell ref="B1:J1"/>
    <mergeCell ref="B28:D28"/>
    <mergeCell ref="E28:F28"/>
    <mergeCell ref="G28:I28"/>
    <mergeCell ref="B29:D30"/>
    <mergeCell ref="E29:F30"/>
    <mergeCell ref="G29:I30"/>
    <mergeCell ref="J29:J30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37"/>
  <sheetViews>
    <sheetView workbookViewId="0">
      <selection activeCell="B1" sqref="B1:J1"/>
    </sheetView>
  </sheetViews>
  <sheetFormatPr defaultColWidth="10.7109375" defaultRowHeight="15" x14ac:dyDescent="0.25"/>
  <cols>
    <col min="1" max="1" width="15.140625" customWidth="1"/>
    <col min="2" max="2" width="12" bestFit="1" customWidth="1"/>
  </cols>
  <sheetData>
    <row r="1" spans="1:10" ht="33" customHeight="1" thickBot="1" x14ac:dyDescent="0.3">
      <c r="A1" s="44" t="s">
        <v>14</v>
      </c>
      <c r="B1" s="84" t="s">
        <v>19</v>
      </c>
      <c r="C1" s="85"/>
      <c r="D1" s="85"/>
      <c r="E1" s="85"/>
      <c r="F1" s="85"/>
      <c r="G1" s="85"/>
      <c r="H1" s="85"/>
      <c r="I1" s="85"/>
      <c r="J1" s="86"/>
    </row>
    <row r="2" spans="1:10" ht="15.75" x14ac:dyDescent="0.25">
      <c r="A2" s="30">
        <v>45110</v>
      </c>
      <c r="B2" s="31">
        <v>1.32</v>
      </c>
      <c r="C2" s="32">
        <v>2.38</v>
      </c>
      <c r="D2" s="32">
        <v>2.46</v>
      </c>
      <c r="E2" s="32">
        <v>2.125</v>
      </c>
      <c r="F2" s="32">
        <v>2.14</v>
      </c>
      <c r="G2" s="32">
        <v>1.615</v>
      </c>
      <c r="H2" s="32">
        <v>6.62</v>
      </c>
      <c r="I2" s="32">
        <v>6.9</v>
      </c>
      <c r="J2" s="33"/>
    </row>
    <row r="3" spans="1:10" ht="15.75" x14ac:dyDescent="0.25">
      <c r="A3" s="29">
        <v>45111</v>
      </c>
      <c r="B3" s="24">
        <v>1.22</v>
      </c>
      <c r="C3" s="25">
        <v>2.41</v>
      </c>
      <c r="D3" s="25">
        <v>2.5499999999999998</v>
      </c>
      <c r="E3" s="25">
        <v>2.0099999999999998</v>
      </c>
      <c r="F3" s="25">
        <v>2.0649999999999999</v>
      </c>
      <c r="G3" s="25">
        <v>1.64</v>
      </c>
      <c r="H3" s="25">
        <v>6.1849999999999996</v>
      </c>
      <c r="I3" s="25">
        <v>6.14</v>
      </c>
      <c r="J3" s="26"/>
    </row>
    <row r="4" spans="1:10" ht="15.75" x14ac:dyDescent="0.25">
      <c r="A4" s="30">
        <v>45112</v>
      </c>
      <c r="B4" s="35">
        <v>1.35</v>
      </c>
      <c r="C4" s="36">
        <v>2.37</v>
      </c>
      <c r="D4" s="36">
        <v>2.57</v>
      </c>
      <c r="E4" s="36">
        <v>2.14</v>
      </c>
      <c r="F4" s="36">
        <v>2.14</v>
      </c>
      <c r="G4" s="36">
        <v>16.649999999999999</v>
      </c>
      <c r="H4" s="36">
        <v>6.56</v>
      </c>
      <c r="I4" s="36">
        <v>6.4349999999999996</v>
      </c>
      <c r="J4" s="37"/>
    </row>
    <row r="5" spans="1:10" ht="15.75" x14ac:dyDescent="0.25">
      <c r="A5" s="29">
        <v>45113</v>
      </c>
      <c r="B5" s="27">
        <v>1.45</v>
      </c>
      <c r="C5" s="25">
        <v>2.4500000000000002</v>
      </c>
      <c r="D5" s="25">
        <v>2.73</v>
      </c>
      <c r="E5" s="25">
        <v>2.17</v>
      </c>
      <c r="F5" s="25">
        <v>2.15</v>
      </c>
      <c r="G5" s="25">
        <v>1.7</v>
      </c>
      <c r="H5" s="25">
        <v>6.4</v>
      </c>
      <c r="I5" s="25">
        <v>6.66</v>
      </c>
      <c r="J5" s="28"/>
    </row>
    <row r="6" spans="1:10" ht="15.75" x14ac:dyDescent="0.25">
      <c r="A6" s="30">
        <v>45114</v>
      </c>
      <c r="B6" s="38">
        <v>1.42</v>
      </c>
      <c r="C6" s="36">
        <v>2.5350000000000001</v>
      </c>
      <c r="D6" s="36">
        <v>2.65</v>
      </c>
      <c r="E6" s="36">
        <v>2.27</v>
      </c>
      <c r="F6" s="36">
        <v>2.36</v>
      </c>
      <c r="G6" s="36">
        <v>1.73</v>
      </c>
      <c r="H6" s="36">
        <v>6.63</v>
      </c>
      <c r="I6" s="36">
        <v>6.62</v>
      </c>
      <c r="J6" s="39"/>
    </row>
    <row r="7" spans="1:10" ht="15.75" x14ac:dyDescent="0.25">
      <c r="A7" s="29">
        <v>45117</v>
      </c>
      <c r="B7" s="27">
        <v>1.575</v>
      </c>
      <c r="C7" s="25">
        <v>2.4950000000000001</v>
      </c>
      <c r="D7" s="25">
        <v>2.69</v>
      </c>
      <c r="E7" s="25">
        <v>2.23</v>
      </c>
      <c r="F7" s="25">
        <v>2.33</v>
      </c>
      <c r="G7" s="25">
        <v>1.7549999999999999</v>
      </c>
      <c r="H7" s="25">
        <v>6.6449999999999996</v>
      </c>
      <c r="I7" s="25">
        <v>7</v>
      </c>
      <c r="J7" s="28"/>
    </row>
    <row r="8" spans="1:10" ht="15.75" x14ac:dyDescent="0.25">
      <c r="A8" s="34">
        <v>45118</v>
      </c>
      <c r="B8" s="38">
        <v>1.3</v>
      </c>
      <c r="C8" s="36">
        <v>2.48</v>
      </c>
      <c r="D8" s="36">
        <v>2.48</v>
      </c>
      <c r="E8" s="36">
        <v>2.1800000000000002</v>
      </c>
      <c r="F8" s="36">
        <v>2.1800000000000002</v>
      </c>
      <c r="G8" s="36">
        <v>1.67</v>
      </c>
      <c r="H8" s="36">
        <v>6.69</v>
      </c>
      <c r="I8" s="36">
        <v>6.3</v>
      </c>
      <c r="J8" s="39"/>
    </row>
    <row r="9" spans="1:10" ht="15.75" x14ac:dyDescent="0.25">
      <c r="A9" s="29">
        <v>45119</v>
      </c>
      <c r="B9" s="27">
        <v>1.2749999999999999</v>
      </c>
      <c r="C9" s="25">
        <v>2.42</v>
      </c>
      <c r="D9" s="25">
        <v>2.37</v>
      </c>
      <c r="E9" s="25">
        <v>2.0649999999999999</v>
      </c>
      <c r="F9" s="25">
        <v>2.04</v>
      </c>
      <c r="G9" s="25">
        <v>1.56</v>
      </c>
      <c r="H9" s="25">
        <v>6.29</v>
      </c>
      <c r="I9" s="25">
        <v>3.25</v>
      </c>
      <c r="J9" s="28"/>
    </row>
    <row r="10" spans="1:10" ht="15.75" x14ac:dyDescent="0.25">
      <c r="A10" s="34">
        <v>45120</v>
      </c>
      <c r="B10" s="38">
        <v>1.425</v>
      </c>
      <c r="C10" s="36">
        <v>2.4</v>
      </c>
      <c r="D10" s="36">
        <v>2.4500000000000002</v>
      </c>
      <c r="E10" s="36">
        <v>2.06</v>
      </c>
      <c r="F10" s="36">
        <v>2.09</v>
      </c>
      <c r="G10" s="36">
        <v>1.6850000000000001</v>
      </c>
      <c r="H10" s="36">
        <v>6.2</v>
      </c>
      <c r="I10" s="36">
        <v>6.125</v>
      </c>
      <c r="J10" s="39"/>
    </row>
    <row r="11" spans="1:10" ht="15.75" x14ac:dyDescent="0.25">
      <c r="A11" s="29">
        <v>45121</v>
      </c>
      <c r="B11" s="27">
        <v>0.82</v>
      </c>
      <c r="C11" s="25">
        <v>2.4</v>
      </c>
      <c r="D11" s="25">
        <v>2.4700000000000002</v>
      </c>
      <c r="E11" s="25">
        <v>2.46</v>
      </c>
      <c r="F11" s="25">
        <v>0.7</v>
      </c>
      <c r="G11" s="25">
        <v>0</v>
      </c>
      <c r="H11" s="25">
        <v>2.1</v>
      </c>
      <c r="I11" s="25">
        <v>0</v>
      </c>
      <c r="J11" s="28"/>
    </row>
    <row r="12" spans="1:10" ht="15.75" x14ac:dyDescent="0.25">
      <c r="A12" s="34">
        <v>45138</v>
      </c>
      <c r="B12" s="38">
        <v>1.2</v>
      </c>
      <c r="C12" s="36">
        <v>2.1</v>
      </c>
      <c r="D12" s="36">
        <v>2.4</v>
      </c>
      <c r="E12" s="36">
        <v>2.1</v>
      </c>
      <c r="F12" s="36">
        <v>2.1</v>
      </c>
      <c r="G12" s="36">
        <v>1.5</v>
      </c>
      <c r="H12" s="36">
        <v>5.8</v>
      </c>
      <c r="I12" s="36">
        <v>6</v>
      </c>
      <c r="J12" s="39"/>
    </row>
    <row r="13" spans="1:10" ht="15.75" x14ac:dyDescent="0.25">
      <c r="A13" s="47" t="s">
        <v>16</v>
      </c>
      <c r="B13" s="48"/>
      <c r="C13" s="49"/>
      <c r="D13" s="49">
        <v>3.8140000000000001</v>
      </c>
      <c r="E13" s="49"/>
      <c r="F13" s="49"/>
      <c r="G13" s="49"/>
      <c r="H13" s="49"/>
      <c r="I13" s="49"/>
      <c r="J13" s="50"/>
    </row>
    <row r="14" spans="1:10" ht="15.75" x14ac:dyDescent="0.25">
      <c r="A14" s="51" t="s">
        <v>16</v>
      </c>
      <c r="B14" s="52"/>
      <c r="C14" s="53"/>
      <c r="D14" s="53">
        <v>4.5140000000000002</v>
      </c>
      <c r="E14" s="53"/>
      <c r="F14" s="53"/>
      <c r="G14" s="53"/>
      <c r="H14" s="53"/>
      <c r="I14" s="53"/>
      <c r="J14" s="54"/>
    </row>
    <row r="15" spans="1:10" ht="15.75" x14ac:dyDescent="0.25">
      <c r="A15" s="29"/>
      <c r="B15" s="27"/>
      <c r="C15" s="25"/>
      <c r="D15" s="25"/>
      <c r="E15" s="25"/>
      <c r="F15" s="25"/>
      <c r="G15" s="25"/>
      <c r="H15" s="25"/>
      <c r="I15" s="25"/>
      <c r="J15" s="28"/>
    </row>
    <row r="16" spans="1:10" ht="15.75" x14ac:dyDescent="0.25">
      <c r="A16" s="34"/>
      <c r="B16" s="38"/>
      <c r="C16" s="36"/>
      <c r="D16" s="36"/>
      <c r="E16" s="36"/>
      <c r="F16" s="36"/>
      <c r="G16" s="36"/>
      <c r="H16" s="36"/>
      <c r="I16" s="36"/>
      <c r="J16" s="39"/>
    </row>
    <row r="17" spans="1:16" ht="15.75" x14ac:dyDescent="0.25">
      <c r="A17" s="29"/>
      <c r="B17" s="27"/>
      <c r="C17" s="25"/>
      <c r="D17" s="25"/>
      <c r="E17" s="25"/>
      <c r="F17" s="25"/>
      <c r="G17" s="25"/>
      <c r="H17" s="25"/>
      <c r="I17" s="25"/>
      <c r="J17" s="28"/>
    </row>
    <row r="18" spans="1:16" ht="15.75" x14ac:dyDescent="0.25">
      <c r="A18" s="34"/>
      <c r="B18" s="38"/>
      <c r="C18" s="36"/>
      <c r="D18" s="36"/>
      <c r="E18" s="36"/>
      <c r="F18" s="36"/>
      <c r="G18" s="36"/>
      <c r="H18" s="36"/>
      <c r="I18" s="36"/>
      <c r="J18" s="39"/>
    </row>
    <row r="19" spans="1:16" ht="15.75" x14ac:dyDescent="0.25">
      <c r="A19" s="29"/>
      <c r="B19" s="27"/>
      <c r="C19" s="25"/>
      <c r="D19" s="25"/>
      <c r="E19" s="25"/>
      <c r="F19" s="25"/>
      <c r="G19" s="25"/>
      <c r="H19" s="25"/>
      <c r="I19" s="25"/>
      <c r="J19" s="28"/>
    </row>
    <row r="20" spans="1:16" ht="15.75" x14ac:dyDescent="0.25">
      <c r="A20" s="34"/>
      <c r="B20" s="38"/>
      <c r="C20" s="36"/>
      <c r="D20" s="36"/>
      <c r="E20" s="36"/>
      <c r="F20" s="36"/>
      <c r="G20" s="36"/>
      <c r="H20" s="36"/>
      <c r="I20" s="36"/>
      <c r="J20" s="39"/>
    </row>
    <row r="21" spans="1:16" ht="15.75" x14ac:dyDescent="0.25">
      <c r="A21" s="29"/>
      <c r="B21" s="27"/>
      <c r="C21" s="25"/>
      <c r="D21" s="25"/>
      <c r="E21" s="25"/>
      <c r="F21" s="25"/>
      <c r="G21" s="25"/>
      <c r="H21" s="25"/>
      <c r="I21" s="25"/>
      <c r="J21" s="28"/>
    </row>
    <row r="22" spans="1:16" ht="15.75" x14ac:dyDescent="0.25">
      <c r="A22" s="34"/>
      <c r="B22" s="38"/>
      <c r="C22" s="36"/>
      <c r="D22" s="36"/>
      <c r="E22" s="36"/>
      <c r="F22" s="36"/>
      <c r="G22" s="36"/>
      <c r="H22" s="36"/>
      <c r="I22" s="36"/>
      <c r="J22" s="39"/>
    </row>
    <row r="23" spans="1:16" ht="15.75" x14ac:dyDescent="0.25">
      <c r="A23" s="29"/>
      <c r="B23" s="27"/>
      <c r="C23" s="25"/>
      <c r="D23" s="25"/>
      <c r="E23" s="25"/>
      <c r="F23" s="25"/>
      <c r="G23" s="25"/>
      <c r="H23" s="25"/>
      <c r="I23" s="25"/>
      <c r="J23" s="28"/>
    </row>
    <row r="24" spans="1:16" ht="16.5" thickBot="1" x14ac:dyDescent="0.3">
      <c r="A24" s="40"/>
      <c r="B24" s="41"/>
      <c r="C24" s="42"/>
      <c r="D24" s="42"/>
      <c r="E24" s="42"/>
      <c r="F24" s="42"/>
      <c r="G24" s="42"/>
      <c r="H24" s="42"/>
      <c r="I24" s="42"/>
      <c r="J24" s="43"/>
    </row>
    <row r="25" spans="1:16" ht="19.5" thickBot="1" x14ac:dyDescent="0.3">
      <c r="B25" s="5">
        <f>SUM(B2:B24)</f>
        <v>14.355</v>
      </c>
      <c r="C25" s="5">
        <f t="shared" ref="C25:J25" si="0">SUM(C2:C24)</f>
        <v>26.439999999999998</v>
      </c>
      <c r="D25" s="5">
        <f t="shared" si="0"/>
        <v>36.147999999999996</v>
      </c>
      <c r="E25" s="5">
        <f>SUM(E2:E24)</f>
        <v>23.810000000000002</v>
      </c>
      <c r="F25" s="5">
        <f t="shared" si="0"/>
        <v>22.295000000000002</v>
      </c>
      <c r="G25" s="5">
        <f t="shared" si="0"/>
        <v>31.504999999999995</v>
      </c>
      <c r="H25" s="5">
        <f t="shared" si="0"/>
        <v>66.12</v>
      </c>
      <c r="I25" s="5">
        <f t="shared" si="0"/>
        <v>61.429999999999993</v>
      </c>
      <c r="J25" s="5">
        <f t="shared" si="0"/>
        <v>0</v>
      </c>
    </row>
    <row r="26" spans="1:16" ht="15.75" thickBot="1" x14ac:dyDescent="0.3">
      <c r="B26" s="2" t="s">
        <v>0</v>
      </c>
      <c r="C26" s="3" t="s">
        <v>1</v>
      </c>
      <c r="D26" s="2" t="s">
        <v>2</v>
      </c>
      <c r="E26" s="4" t="s">
        <v>3</v>
      </c>
      <c r="F26" s="2" t="s">
        <v>4</v>
      </c>
      <c r="G26" s="4" t="s">
        <v>5</v>
      </c>
      <c r="H26" s="2" t="s">
        <v>6</v>
      </c>
      <c r="I26" s="4" t="s">
        <v>7</v>
      </c>
      <c r="J26" s="2"/>
    </row>
    <row r="27" spans="1:16" ht="15.75" thickBot="1" x14ac:dyDescent="0.3"/>
    <row r="28" spans="1:16" ht="18.75" x14ac:dyDescent="0.3">
      <c r="B28" s="87" t="s">
        <v>8</v>
      </c>
      <c r="C28" s="88"/>
      <c r="D28" s="88"/>
      <c r="E28" s="87" t="s">
        <v>9</v>
      </c>
      <c r="F28" s="89"/>
      <c r="G28" s="88" t="s">
        <v>10</v>
      </c>
      <c r="H28" s="88"/>
      <c r="I28" s="89"/>
      <c r="J28" s="16"/>
    </row>
    <row r="29" spans="1:16" x14ac:dyDescent="0.25">
      <c r="B29" s="90">
        <f>B25+C25+D25</f>
        <v>76.942999999999998</v>
      </c>
      <c r="C29" s="91"/>
      <c r="D29" s="91"/>
      <c r="E29" s="90">
        <f>E25+F25</f>
        <v>46.105000000000004</v>
      </c>
      <c r="F29" s="94"/>
      <c r="G29" s="96">
        <f>G25+H25+I25</f>
        <v>159.05500000000001</v>
      </c>
      <c r="H29" s="91"/>
      <c r="I29" s="94"/>
      <c r="J29" s="102"/>
    </row>
    <row r="30" spans="1:16" ht="15.75" thickBot="1" x14ac:dyDescent="0.3">
      <c r="B30" s="92"/>
      <c r="C30" s="93"/>
      <c r="D30" s="93"/>
      <c r="E30" s="92"/>
      <c r="F30" s="95"/>
      <c r="G30" s="93"/>
      <c r="H30" s="93"/>
      <c r="I30" s="95"/>
      <c r="J30" s="98"/>
      <c r="P30" t="s">
        <v>15</v>
      </c>
    </row>
    <row r="34" spans="4:8" ht="15.75" x14ac:dyDescent="0.25">
      <c r="G34" s="46"/>
    </row>
    <row r="35" spans="4:8" x14ac:dyDescent="0.25">
      <c r="H35" s="45"/>
    </row>
    <row r="37" spans="4:8" x14ac:dyDescent="0.25">
      <c r="D37" s="45"/>
    </row>
  </sheetData>
  <mergeCells count="8">
    <mergeCell ref="B1:J1"/>
    <mergeCell ref="B28:D28"/>
    <mergeCell ref="E28:F28"/>
    <mergeCell ref="G28:I28"/>
    <mergeCell ref="B29:D30"/>
    <mergeCell ref="E29:F30"/>
    <mergeCell ref="G29:I30"/>
    <mergeCell ref="J29:J3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38"/>
  <sheetViews>
    <sheetView workbookViewId="0">
      <selection activeCell="F38" sqref="F38"/>
    </sheetView>
  </sheetViews>
  <sheetFormatPr defaultColWidth="10.7109375" defaultRowHeight="15" x14ac:dyDescent="0.25"/>
  <cols>
    <col min="1" max="1" width="15.140625" customWidth="1"/>
    <col min="2" max="2" width="12" bestFit="1" customWidth="1"/>
  </cols>
  <sheetData>
    <row r="1" spans="1:38" ht="33" customHeight="1" thickBot="1" x14ac:dyDescent="0.3">
      <c r="A1" s="44" t="s">
        <v>14</v>
      </c>
      <c r="B1" s="84" t="s">
        <v>20</v>
      </c>
      <c r="C1" s="85"/>
      <c r="D1" s="85"/>
      <c r="E1" s="85"/>
      <c r="F1" s="85"/>
      <c r="G1" s="85"/>
      <c r="H1" s="85"/>
      <c r="I1" s="85"/>
      <c r="J1" s="86"/>
    </row>
    <row r="2" spans="1:38" ht="15.75" x14ac:dyDescent="0.25">
      <c r="A2" s="30">
        <v>45139</v>
      </c>
      <c r="B2" s="31">
        <v>1.3</v>
      </c>
      <c r="C2" s="32">
        <v>2.2000000000000002</v>
      </c>
      <c r="D2" s="32">
        <v>2.25</v>
      </c>
      <c r="E2" s="32">
        <v>2.04</v>
      </c>
      <c r="F2" s="32">
        <v>2</v>
      </c>
      <c r="G2" s="32">
        <v>1.45</v>
      </c>
      <c r="H2" s="32">
        <v>5.8</v>
      </c>
      <c r="I2" s="32">
        <v>5.9</v>
      </c>
      <c r="J2" s="33"/>
    </row>
    <row r="3" spans="1:38" ht="15.75" x14ac:dyDescent="0.25">
      <c r="A3" s="29">
        <v>45140</v>
      </c>
      <c r="B3" s="24">
        <v>1.25</v>
      </c>
      <c r="C3" s="25">
        <v>2.2000000000000002</v>
      </c>
      <c r="D3" s="25">
        <v>2.2599999999999998</v>
      </c>
      <c r="E3" s="25">
        <v>2</v>
      </c>
      <c r="F3" s="25">
        <v>1.96</v>
      </c>
      <c r="G3" s="25">
        <v>1.48</v>
      </c>
      <c r="H3" s="25">
        <v>6.1</v>
      </c>
      <c r="I3" s="25">
        <v>6</v>
      </c>
      <c r="J3" s="26"/>
    </row>
    <row r="4" spans="1:38" ht="15.75" x14ac:dyDescent="0.25">
      <c r="A4" s="30">
        <v>45141</v>
      </c>
      <c r="B4" s="35">
        <v>1.31</v>
      </c>
      <c r="C4" s="36">
        <v>2.2000000000000002</v>
      </c>
      <c r="D4" s="36">
        <v>2.4</v>
      </c>
      <c r="E4" s="36">
        <v>2.0299999999999998</v>
      </c>
      <c r="F4" s="36">
        <v>1.9</v>
      </c>
      <c r="G4" s="36">
        <v>1.53</v>
      </c>
      <c r="H4" s="36">
        <v>5.9</v>
      </c>
      <c r="I4" s="36">
        <v>5.89</v>
      </c>
      <c r="J4" s="37"/>
    </row>
    <row r="5" spans="1:38" ht="15.75" x14ac:dyDescent="0.25">
      <c r="A5" s="58">
        <v>45142</v>
      </c>
      <c r="B5" s="59">
        <v>1.31</v>
      </c>
      <c r="C5" s="60">
        <v>2.41</v>
      </c>
      <c r="D5" s="60">
        <v>2.2000000000000002</v>
      </c>
      <c r="E5" s="60">
        <v>1.98</v>
      </c>
      <c r="F5" s="60">
        <v>1.92</v>
      </c>
      <c r="G5" s="60">
        <v>1.48</v>
      </c>
      <c r="H5" s="60">
        <v>5.89</v>
      </c>
      <c r="I5" s="60">
        <v>6.02</v>
      </c>
      <c r="J5" s="61"/>
    </row>
    <row r="6" spans="1:38" ht="15.75" x14ac:dyDescent="0.25">
      <c r="A6" s="34">
        <v>45143</v>
      </c>
      <c r="B6" s="38"/>
      <c r="C6" s="36">
        <v>2.2000000000000002</v>
      </c>
      <c r="D6" s="36">
        <v>1.125</v>
      </c>
      <c r="E6" s="36">
        <v>4</v>
      </c>
      <c r="F6" s="36">
        <v>3.98</v>
      </c>
      <c r="G6" s="36">
        <v>1.48</v>
      </c>
      <c r="H6" s="36">
        <v>1.51</v>
      </c>
      <c r="I6" s="36"/>
      <c r="J6" s="39"/>
    </row>
    <row r="7" spans="1:38" ht="15.75" x14ac:dyDescent="0.25">
      <c r="A7" s="58">
        <v>45145</v>
      </c>
      <c r="B7" s="62">
        <v>1.25</v>
      </c>
      <c r="C7" s="60">
        <v>2.2799999999999998</v>
      </c>
      <c r="D7" s="60">
        <v>2.35</v>
      </c>
      <c r="E7" s="60">
        <v>2</v>
      </c>
      <c r="F7" s="60">
        <v>2</v>
      </c>
      <c r="G7" s="60">
        <v>1.5</v>
      </c>
      <c r="H7" s="60">
        <v>6</v>
      </c>
      <c r="I7" s="60">
        <v>6</v>
      </c>
      <c r="J7" s="63"/>
    </row>
    <row r="8" spans="1:38" ht="15.75" x14ac:dyDescent="0.25">
      <c r="A8" s="34">
        <v>45146</v>
      </c>
      <c r="B8" s="38">
        <v>1.25</v>
      </c>
      <c r="C8" s="36">
        <v>2.25</v>
      </c>
      <c r="D8" s="36">
        <v>2.35</v>
      </c>
      <c r="E8" s="36">
        <v>2</v>
      </c>
      <c r="F8" s="36">
        <v>2</v>
      </c>
      <c r="G8" s="36">
        <v>1.5</v>
      </c>
      <c r="H8" s="36">
        <v>6</v>
      </c>
      <c r="I8" s="36">
        <v>6</v>
      </c>
      <c r="J8" s="39"/>
    </row>
    <row r="9" spans="1:38" ht="15.75" x14ac:dyDescent="0.25">
      <c r="A9" s="58">
        <v>45147</v>
      </c>
      <c r="B9" s="62">
        <v>1.26</v>
      </c>
      <c r="C9" s="60">
        <v>2.27</v>
      </c>
      <c r="D9" s="60">
        <v>2.36</v>
      </c>
      <c r="E9" s="60">
        <v>2.0499999999999998</v>
      </c>
      <c r="F9" s="60">
        <v>2.0499999999999998</v>
      </c>
      <c r="G9" s="60">
        <v>1.55</v>
      </c>
      <c r="H9" s="60">
        <v>6.06</v>
      </c>
      <c r="I9" s="60">
        <v>6.03</v>
      </c>
      <c r="J9" s="63"/>
    </row>
    <row r="10" spans="1:38" ht="15.75" x14ac:dyDescent="0.25">
      <c r="A10" s="34">
        <v>45148</v>
      </c>
      <c r="B10" s="38">
        <v>1.2450000000000001</v>
      </c>
      <c r="C10" s="36">
        <v>3.0449999999999999</v>
      </c>
      <c r="D10" s="36">
        <v>2.35</v>
      </c>
      <c r="E10" s="36">
        <v>2.0099999999999998</v>
      </c>
      <c r="F10" s="36">
        <v>2.02</v>
      </c>
      <c r="G10" s="36">
        <v>1.53</v>
      </c>
      <c r="H10" s="36">
        <v>6.02</v>
      </c>
      <c r="I10" s="36">
        <v>6.01</v>
      </c>
      <c r="J10" s="39"/>
    </row>
    <row r="11" spans="1:38" s="64" customFormat="1" ht="15.75" x14ac:dyDescent="0.25">
      <c r="A11" s="58">
        <v>45149</v>
      </c>
      <c r="B11" s="62">
        <v>1.23</v>
      </c>
      <c r="C11" s="60">
        <v>3.04</v>
      </c>
      <c r="D11" s="60">
        <v>2.34</v>
      </c>
      <c r="E11" s="60">
        <v>2.0049999999999999</v>
      </c>
      <c r="F11" s="60">
        <v>2.0099999999999998</v>
      </c>
      <c r="G11" s="60">
        <v>1.51</v>
      </c>
      <c r="H11" s="60">
        <v>6.01</v>
      </c>
      <c r="I11" s="60">
        <v>6</v>
      </c>
      <c r="J11" s="63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 spans="1:38" ht="15.75" x14ac:dyDescent="0.25">
      <c r="A12" s="34">
        <v>45152</v>
      </c>
      <c r="B12" s="38">
        <v>1.25</v>
      </c>
      <c r="C12" s="36">
        <v>3.3</v>
      </c>
      <c r="D12" s="36">
        <v>2.36</v>
      </c>
      <c r="E12" s="36">
        <v>2.0099999999999998</v>
      </c>
      <c r="F12" s="36">
        <v>2.0499999999999998</v>
      </c>
      <c r="G12" s="36">
        <v>1.52</v>
      </c>
      <c r="H12" s="36">
        <v>6.02</v>
      </c>
      <c r="I12" s="36">
        <v>6</v>
      </c>
      <c r="J12" s="39"/>
    </row>
    <row r="13" spans="1:38" s="64" customFormat="1" ht="15.75" x14ac:dyDescent="0.25">
      <c r="A13" s="65">
        <v>45153</v>
      </c>
      <c r="B13" s="62">
        <v>1.21</v>
      </c>
      <c r="C13" s="60">
        <v>4.5599999999999996</v>
      </c>
      <c r="D13" s="60">
        <v>2.355</v>
      </c>
      <c r="E13" s="60">
        <v>2.0150000000000001</v>
      </c>
      <c r="F13" s="60">
        <v>2.0049999999999999</v>
      </c>
      <c r="G13" s="60">
        <v>1.5049999999999999</v>
      </c>
      <c r="H13" s="60">
        <v>6.0049999999999999</v>
      </c>
      <c r="I13" s="60">
        <v>6.0049999999999999</v>
      </c>
      <c r="J13" s="6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</row>
    <row r="14" spans="1:38" ht="15.75" x14ac:dyDescent="0.25">
      <c r="A14" s="34">
        <v>45154</v>
      </c>
      <c r="B14" s="55">
        <v>1.2150000000000001</v>
      </c>
      <c r="C14" s="56">
        <v>3.27</v>
      </c>
      <c r="D14" s="56">
        <v>2.3650000000000002</v>
      </c>
      <c r="E14" s="56">
        <v>2.02</v>
      </c>
      <c r="F14" s="56">
        <v>2.0099999999999998</v>
      </c>
      <c r="G14" s="56">
        <v>1.51</v>
      </c>
      <c r="H14" s="56">
        <v>6.01</v>
      </c>
      <c r="I14" s="56">
        <v>6.02</v>
      </c>
      <c r="J14" s="57"/>
    </row>
    <row r="15" spans="1:38" s="64" customFormat="1" ht="15.75" x14ac:dyDescent="0.25">
      <c r="A15" s="65">
        <v>45155</v>
      </c>
      <c r="B15" s="66">
        <v>1.2050000000000001</v>
      </c>
      <c r="C15" s="67">
        <v>3.2650000000000001</v>
      </c>
      <c r="D15" s="67">
        <v>2.355</v>
      </c>
      <c r="E15" s="67">
        <v>2.0099999999999998</v>
      </c>
      <c r="F15" s="67">
        <v>2.02</v>
      </c>
      <c r="G15" s="67">
        <v>1.5149999999999999</v>
      </c>
      <c r="H15" s="67">
        <v>6.0250000000000004</v>
      </c>
      <c r="I15" s="67">
        <v>6.01</v>
      </c>
      <c r="J15" s="68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 spans="1:38" ht="15.75" x14ac:dyDescent="0.25">
      <c r="A16" s="34">
        <v>45156</v>
      </c>
      <c r="B16" s="55">
        <v>1.21</v>
      </c>
      <c r="C16" s="56">
        <v>3.28</v>
      </c>
      <c r="D16" s="56">
        <v>2.36</v>
      </c>
      <c r="E16" s="56">
        <v>2.0150000000000001</v>
      </c>
      <c r="F16" s="56">
        <v>2.0099999999999998</v>
      </c>
      <c r="G16" s="56">
        <v>1.52</v>
      </c>
      <c r="H16" s="56">
        <v>6.02</v>
      </c>
      <c r="I16" s="56">
        <v>6.0149999999999997</v>
      </c>
      <c r="J16" s="57"/>
    </row>
    <row r="17" spans="1:38" s="64" customFormat="1" ht="15.75" x14ac:dyDescent="0.25">
      <c r="A17" s="65">
        <v>45159</v>
      </c>
      <c r="B17" s="66">
        <v>1.2749999999999999</v>
      </c>
      <c r="C17" s="67">
        <v>3.2749999999999999</v>
      </c>
      <c r="D17" s="67">
        <v>2.375</v>
      </c>
      <c r="E17" s="67">
        <v>2.0099999999999998</v>
      </c>
      <c r="F17" s="67">
        <v>2.02</v>
      </c>
      <c r="G17" s="67">
        <v>1.54</v>
      </c>
      <c r="H17" s="67">
        <v>6.0149999999999997</v>
      </c>
      <c r="I17" s="67">
        <v>6.02</v>
      </c>
      <c r="J17" s="68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</row>
    <row r="18" spans="1:38" ht="15.75" x14ac:dyDescent="0.25">
      <c r="A18" s="34">
        <v>45160</v>
      </c>
      <c r="B18" s="55">
        <v>1.25</v>
      </c>
      <c r="C18" s="56">
        <v>3.26</v>
      </c>
      <c r="D18" s="56">
        <v>2.35</v>
      </c>
      <c r="E18" s="56">
        <v>2.02</v>
      </c>
      <c r="F18" s="56">
        <v>2.0499999999999998</v>
      </c>
      <c r="G18" s="56">
        <v>1.53</v>
      </c>
      <c r="H18" s="56">
        <v>8.51</v>
      </c>
      <c r="I18" s="56">
        <v>8.51</v>
      </c>
      <c r="J18" s="57"/>
    </row>
    <row r="19" spans="1:38" s="64" customFormat="1" ht="15.75" x14ac:dyDescent="0.25">
      <c r="A19" s="65">
        <v>45161</v>
      </c>
      <c r="B19" s="66">
        <v>1.24</v>
      </c>
      <c r="C19" s="67">
        <v>3.25</v>
      </c>
      <c r="D19" s="67">
        <v>2.36</v>
      </c>
      <c r="E19" s="67">
        <v>2.0299999999999998</v>
      </c>
      <c r="F19" s="67">
        <v>2.0049999999999999</v>
      </c>
      <c r="G19" s="67">
        <v>1.5149999999999999</v>
      </c>
      <c r="H19" s="67">
        <v>6</v>
      </c>
      <c r="I19" s="67">
        <v>6.0049999999999999</v>
      </c>
      <c r="J19" s="68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</row>
    <row r="20" spans="1:38" ht="15.75" x14ac:dyDescent="0.25">
      <c r="A20" s="34">
        <v>45162</v>
      </c>
      <c r="B20" s="55">
        <v>1.25</v>
      </c>
      <c r="C20" s="56">
        <v>3.28</v>
      </c>
      <c r="D20" s="56">
        <v>2.37</v>
      </c>
      <c r="E20" s="56">
        <v>2.0299999999999998</v>
      </c>
      <c r="F20" s="56">
        <v>2.0099999999999998</v>
      </c>
      <c r="G20" s="56">
        <v>1.53</v>
      </c>
      <c r="H20" s="56">
        <v>6.01</v>
      </c>
      <c r="I20" s="56">
        <v>6.01</v>
      </c>
      <c r="J20" s="57"/>
    </row>
    <row r="21" spans="1:38" s="64" customFormat="1" ht="15.75" x14ac:dyDescent="0.25">
      <c r="A21" s="65">
        <v>45163</v>
      </c>
      <c r="B21" s="66">
        <v>1.24</v>
      </c>
      <c r="C21" s="67">
        <v>3.2650000000000001</v>
      </c>
      <c r="D21" s="67">
        <v>2.36</v>
      </c>
      <c r="E21" s="67">
        <v>2.0049999999999999</v>
      </c>
      <c r="F21" s="67">
        <v>2.0350000000000001</v>
      </c>
      <c r="G21" s="67">
        <v>1.51</v>
      </c>
      <c r="H21" s="67">
        <v>6.03</v>
      </c>
      <c r="I21" s="67">
        <v>6.05</v>
      </c>
      <c r="J21" s="68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</row>
    <row r="22" spans="1:38" ht="15.75" x14ac:dyDescent="0.25">
      <c r="A22" s="34">
        <v>45166</v>
      </c>
      <c r="B22" s="55">
        <v>1.25</v>
      </c>
      <c r="C22" s="56">
        <v>3.27</v>
      </c>
      <c r="D22" s="56">
        <v>2.38</v>
      </c>
      <c r="E22" s="56">
        <v>2.0099999999999998</v>
      </c>
      <c r="F22" s="56">
        <v>2.04</v>
      </c>
      <c r="G22" s="56">
        <v>1.52</v>
      </c>
      <c r="H22" s="56">
        <v>6.08</v>
      </c>
      <c r="I22" s="56">
        <v>6.08</v>
      </c>
      <c r="J22" s="57"/>
    </row>
    <row r="23" spans="1:38" s="64" customFormat="1" ht="15.75" x14ac:dyDescent="0.25">
      <c r="A23" s="65">
        <v>45167</v>
      </c>
      <c r="B23" s="66">
        <v>1.26</v>
      </c>
      <c r="C23" s="67">
        <v>3.28</v>
      </c>
      <c r="D23" s="67">
        <v>2.37</v>
      </c>
      <c r="E23" s="67">
        <v>2.0499999999999998</v>
      </c>
      <c r="F23" s="67">
        <v>2.0499999999999998</v>
      </c>
      <c r="G23" s="67">
        <v>1.53</v>
      </c>
      <c r="H23" s="67">
        <v>6.07</v>
      </c>
      <c r="I23" s="67">
        <v>6.03</v>
      </c>
      <c r="J23" s="68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</row>
    <row r="24" spans="1:38" ht="15.75" x14ac:dyDescent="0.25">
      <c r="A24" s="34">
        <v>45168</v>
      </c>
      <c r="B24" s="55">
        <v>1.27</v>
      </c>
      <c r="C24" s="56">
        <v>3.2650000000000001</v>
      </c>
      <c r="D24" s="56">
        <v>2.36</v>
      </c>
      <c r="E24" s="56">
        <v>2.02</v>
      </c>
      <c r="F24" s="56">
        <v>2.06</v>
      </c>
      <c r="G24" s="56">
        <v>1.55</v>
      </c>
      <c r="H24" s="56">
        <v>10.11</v>
      </c>
      <c r="I24" s="56">
        <v>6.05</v>
      </c>
      <c r="J24" s="57"/>
    </row>
    <row r="25" spans="1:38" s="64" customFormat="1" ht="16.5" thickBot="1" x14ac:dyDescent="0.3">
      <c r="A25" s="65">
        <v>45169</v>
      </c>
      <c r="B25" s="69">
        <v>1.23</v>
      </c>
      <c r="C25" s="70">
        <v>3.2749999999999999</v>
      </c>
      <c r="D25" s="70">
        <v>2.34</v>
      </c>
      <c r="E25" s="70">
        <v>2.0350000000000001</v>
      </c>
      <c r="F25" s="70">
        <v>2.02</v>
      </c>
      <c r="G25" s="70">
        <v>1.5349999999999999</v>
      </c>
      <c r="H25" s="70">
        <v>6.03</v>
      </c>
      <c r="I25" s="70">
        <v>6.0650000000000004</v>
      </c>
      <c r="J25" s="71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</row>
    <row r="26" spans="1:38" ht="19.5" thickBot="1" x14ac:dyDescent="0.3">
      <c r="B26" s="5">
        <f>SUM(B2:B25)</f>
        <v>28.76</v>
      </c>
      <c r="C26" s="5">
        <f t="shared" ref="C26:J26" si="0">SUM(C2:C25)</f>
        <v>71.190000000000012</v>
      </c>
      <c r="D26" s="5">
        <f t="shared" si="0"/>
        <v>55.045000000000002</v>
      </c>
      <c r="E26" s="5">
        <f>SUM(E2:E25)</f>
        <v>50.39500000000001</v>
      </c>
      <c r="F26" s="5">
        <f t="shared" si="0"/>
        <v>50.224999999999994</v>
      </c>
      <c r="G26" s="5">
        <f t="shared" si="0"/>
        <v>36.339999999999996</v>
      </c>
      <c r="H26" s="5">
        <f>SUM(H2:H25)</f>
        <v>146.22499999999999</v>
      </c>
      <c r="I26" s="5">
        <f t="shared" si="0"/>
        <v>140.72</v>
      </c>
      <c r="J26" s="5">
        <f t="shared" si="0"/>
        <v>0</v>
      </c>
    </row>
    <row r="27" spans="1:38" ht="15.75" thickBot="1" x14ac:dyDescent="0.3">
      <c r="B27" s="2" t="s">
        <v>0</v>
      </c>
      <c r="C27" s="3" t="s">
        <v>1</v>
      </c>
      <c r="D27" s="2" t="s">
        <v>2</v>
      </c>
      <c r="E27" s="4" t="s">
        <v>3</v>
      </c>
      <c r="F27" s="2" t="s">
        <v>4</v>
      </c>
      <c r="G27" s="4" t="s">
        <v>5</v>
      </c>
      <c r="H27" s="2" t="s">
        <v>6</v>
      </c>
      <c r="I27" s="4" t="s">
        <v>7</v>
      </c>
      <c r="J27" s="2"/>
    </row>
    <row r="28" spans="1:38" ht="15.75" thickBot="1" x14ac:dyDescent="0.3"/>
    <row r="29" spans="1:38" ht="18.75" x14ac:dyDescent="0.3">
      <c r="B29" s="87" t="s">
        <v>8</v>
      </c>
      <c r="C29" s="88"/>
      <c r="D29" s="88"/>
      <c r="E29" s="87" t="s">
        <v>9</v>
      </c>
      <c r="F29" s="89"/>
      <c r="G29" s="88" t="s">
        <v>10</v>
      </c>
      <c r="H29" s="88"/>
      <c r="I29" s="89"/>
      <c r="J29" s="16"/>
    </row>
    <row r="30" spans="1:38" x14ac:dyDescent="0.25">
      <c r="B30" s="90">
        <f>B26+C26+D26</f>
        <v>154.995</v>
      </c>
      <c r="C30" s="91"/>
      <c r="D30" s="91"/>
      <c r="E30" s="90">
        <f>E26+F26</f>
        <v>100.62</v>
      </c>
      <c r="F30" s="94"/>
      <c r="G30" s="96">
        <f>G26+H26+I26</f>
        <v>323.28499999999997</v>
      </c>
      <c r="H30" s="91"/>
      <c r="I30" s="94"/>
      <c r="J30" s="102"/>
    </row>
    <row r="31" spans="1:38" ht="15.75" thickBot="1" x14ac:dyDescent="0.3">
      <c r="B31" s="92"/>
      <c r="C31" s="93"/>
      <c r="D31" s="93"/>
      <c r="E31" s="92"/>
      <c r="F31" s="95"/>
      <c r="G31" s="93"/>
      <c r="H31" s="93"/>
      <c r="I31" s="95"/>
      <c r="J31" s="98"/>
    </row>
    <row r="35" spans="4:8" ht="15.75" x14ac:dyDescent="0.25">
      <c r="G35" s="46"/>
    </row>
    <row r="36" spans="4:8" x14ac:dyDescent="0.25">
      <c r="H36" s="45"/>
    </row>
    <row r="38" spans="4:8" x14ac:dyDescent="0.25">
      <c r="D38" s="45"/>
    </row>
  </sheetData>
  <mergeCells count="8">
    <mergeCell ref="B1:J1"/>
    <mergeCell ref="B29:D29"/>
    <mergeCell ref="E29:F29"/>
    <mergeCell ref="G29:I29"/>
    <mergeCell ref="B30:D31"/>
    <mergeCell ref="E30:F31"/>
    <mergeCell ref="G30:I31"/>
    <mergeCell ref="J30:J31"/>
  </mergeCells>
  <pageMargins left="0.53" right="0.35" top="0.51" bottom="0.36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38"/>
  <sheetViews>
    <sheetView topLeftCell="A8" workbookViewId="0">
      <selection sqref="A1:XFD1048576"/>
    </sheetView>
  </sheetViews>
  <sheetFormatPr defaultColWidth="10.7109375" defaultRowHeight="15" x14ac:dyDescent="0.25"/>
  <cols>
    <col min="1" max="1" width="15.140625" customWidth="1"/>
    <col min="2" max="2" width="12" bestFit="1" customWidth="1"/>
  </cols>
  <sheetData>
    <row r="1" spans="1:38" ht="33" customHeight="1" thickBot="1" x14ac:dyDescent="0.3">
      <c r="A1" s="44" t="s">
        <v>14</v>
      </c>
      <c r="B1" s="84" t="s">
        <v>21</v>
      </c>
      <c r="C1" s="85"/>
      <c r="D1" s="85"/>
      <c r="E1" s="85"/>
      <c r="F1" s="85"/>
      <c r="G1" s="85"/>
      <c r="H1" s="85"/>
      <c r="I1" s="85"/>
      <c r="J1" s="86"/>
    </row>
    <row r="2" spans="1:38" ht="15.75" x14ac:dyDescent="0.25">
      <c r="A2" s="30">
        <v>45170</v>
      </c>
      <c r="B2" s="31">
        <v>1.2649999999999999</v>
      </c>
      <c r="C2" s="32">
        <v>3.26</v>
      </c>
      <c r="D2" s="32">
        <v>2.36</v>
      </c>
      <c r="E2" s="32">
        <v>2.0249999999999999</v>
      </c>
      <c r="F2" s="32">
        <v>2.0350000000000001</v>
      </c>
      <c r="G2" s="32">
        <v>1.51</v>
      </c>
      <c r="H2" s="32">
        <v>6</v>
      </c>
      <c r="I2" s="32">
        <v>6.0350000000000001</v>
      </c>
      <c r="J2" s="33"/>
    </row>
    <row r="3" spans="1:38" ht="15.75" x14ac:dyDescent="0.25">
      <c r="A3" s="29">
        <v>45173</v>
      </c>
      <c r="B3" s="24">
        <v>1.25</v>
      </c>
      <c r="C3" s="25">
        <v>3.2450000000000001</v>
      </c>
      <c r="D3" s="25">
        <v>2.35</v>
      </c>
      <c r="E3" s="25">
        <v>2.0099999999999998</v>
      </c>
      <c r="F3" s="25">
        <v>2.02</v>
      </c>
      <c r="G3" s="25">
        <v>1.5149999999999999</v>
      </c>
      <c r="H3" s="25">
        <v>6.01</v>
      </c>
      <c r="I3" s="25">
        <v>6</v>
      </c>
      <c r="J3" s="26"/>
    </row>
    <row r="4" spans="1:38" ht="15.75" x14ac:dyDescent="0.25">
      <c r="A4" s="30">
        <v>45174</v>
      </c>
      <c r="B4" s="35">
        <v>1.2549999999999999</v>
      </c>
      <c r="C4" s="36">
        <v>3.2650000000000001</v>
      </c>
      <c r="D4" s="36">
        <v>2.355</v>
      </c>
      <c r="E4" s="36">
        <v>2.02</v>
      </c>
      <c r="F4" s="36">
        <v>2.02</v>
      </c>
      <c r="G4" s="36">
        <v>1.5049999999999999</v>
      </c>
      <c r="H4" s="36">
        <v>6.0049999999999999</v>
      </c>
      <c r="I4" s="36">
        <v>6.02</v>
      </c>
      <c r="J4" s="37"/>
    </row>
    <row r="5" spans="1:38" ht="15.75" x14ac:dyDescent="0.25">
      <c r="A5" s="29">
        <v>45175</v>
      </c>
      <c r="B5" s="59">
        <v>1.2450000000000001</v>
      </c>
      <c r="C5" s="60">
        <v>3.2549999999999999</v>
      </c>
      <c r="D5" s="60">
        <v>2.34</v>
      </c>
      <c r="E5" s="60">
        <v>2.0299999999999998</v>
      </c>
      <c r="F5" s="60">
        <v>2.0299999999999998</v>
      </c>
      <c r="G5" s="60">
        <v>1.5</v>
      </c>
      <c r="H5" s="60">
        <v>6.04</v>
      </c>
      <c r="I5" s="60">
        <v>6.0250000000000004</v>
      </c>
      <c r="J5" s="61"/>
    </row>
    <row r="6" spans="1:38" ht="15.75" x14ac:dyDescent="0.25">
      <c r="A6" s="30">
        <v>45176</v>
      </c>
      <c r="B6" s="38">
        <v>0</v>
      </c>
      <c r="C6" s="36">
        <v>0</v>
      </c>
      <c r="D6" s="36">
        <v>0</v>
      </c>
      <c r="E6" s="36">
        <v>0</v>
      </c>
      <c r="F6" s="36">
        <v>0</v>
      </c>
      <c r="G6" s="36">
        <v>0</v>
      </c>
      <c r="H6" s="36">
        <v>1.53</v>
      </c>
      <c r="I6" s="36">
        <v>0</v>
      </c>
      <c r="J6" s="39"/>
    </row>
    <row r="7" spans="1:38" ht="15.75" x14ac:dyDescent="0.25">
      <c r="A7" s="29">
        <v>45177</v>
      </c>
      <c r="B7" s="62">
        <v>1.26</v>
      </c>
      <c r="C7" s="60">
        <f>3.26+3.26</f>
        <v>6.52</v>
      </c>
      <c r="D7" s="60">
        <v>2.36</v>
      </c>
      <c r="E7" s="60">
        <v>2.0049999999999999</v>
      </c>
      <c r="F7" s="60">
        <v>2.0099999999999998</v>
      </c>
      <c r="G7" s="60">
        <v>1.56</v>
      </c>
      <c r="H7" s="60">
        <v>6.01</v>
      </c>
      <c r="I7" s="60">
        <v>6.04</v>
      </c>
      <c r="J7" s="63"/>
    </row>
    <row r="8" spans="1:38" ht="15.75" x14ac:dyDescent="0.25">
      <c r="A8" s="30">
        <v>45180</v>
      </c>
      <c r="B8" s="38">
        <v>1.25</v>
      </c>
      <c r="C8" s="36">
        <f>3.25+3.25</f>
        <v>6.5</v>
      </c>
      <c r="D8" s="36">
        <v>2.36</v>
      </c>
      <c r="E8" s="36">
        <v>2.0099999999999998</v>
      </c>
      <c r="F8" s="36">
        <v>2.0150000000000001</v>
      </c>
      <c r="G8" s="36">
        <v>1.56</v>
      </c>
      <c r="H8" s="36">
        <v>6.02</v>
      </c>
      <c r="I8" s="36">
        <v>6.03</v>
      </c>
      <c r="J8" s="39"/>
    </row>
    <row r="9" spans="1:38" ht="15.75" x14ac:dyDescent="0.25">
      <c r="A9" s="29">
        <v>45181</v>
      </c>
      <c r="B9" s="62">
        <v>1.27</v>
      </c>
      <c r="C9" s="60">
        <v>3.26</v>
      </c>
      <c r="D9" s="60">
        <v>2.37</v>
      </c>
      <c r="E9" s="60">
        <v>2.0150000000000001</v>
      </c>
      <c r="F9" s="60">
        <v>2.02</v>
      </c>
      <c r="G9" s="60">
        <v>1.51</v>
      </c>
      <c r="H9" s="60">
        <v>6.0250000000000004</v>
      </c>
      <c r="I9" s="60">
        <v>6.0250000000000004</v>
      </c>
      <c r="J9" s="63"/>
    </row>
    <row r="10" spans="1:38" ht="15.75" x14ac:dyDescent="0.25">
      <c r="A10" s="30">
        <v>45182</v>
      </c>
      <c r="B10" s="38">
        <v>1.28</v>
      </c>
      <c r="C10" s="36">
        <v>3.28</v>
      </c>
      <c r="D10" s="36">
        <v>2.3650000000000002</v>
      </c>
      <c r="E10" s="36">
        <v>2.02</v>
      </c>
      <c r="F10" s="36">
        <v>2.0099999999999998</v>
      </c>
      <c r="G10" s="36">
        <v>1.5249999999999999</v>
      </c>
      <c r="H10" s="36">
        <v>6.02</v>
      </c>
      <c r="I10" s="36">
        <v>6.05</v>
      </c>
      <c r="J10" s="39"/>
    </row>
    <row r="11" spans="1:38" s="64" customFormat="1" ht="15.75" x14ac:dyDescent="0.25">
      <c r="A11" s="29">
        <v>45183</v>
      </c>
      <c r="B11" s="62">
        <v>1.2749999999999999</v>
      </c>
      <c r="C11" s="60">
        <v>3.2749999999999999</v>
      </c>
      <c r="D11" s="60">
        <v>2.38</v>
      </c>
      <c r="E11" s="60">
        <v>2.0299999999999998</v>
      </c>
      <c r="F11" s="60">
        <v>2.02</v>
      </c>
      <c r="G11" s="60">
        <v>1.53</v>
      </c>
      <c r="H11" s="60">
        <v>6.01</v>
      </c>
      <c r="I11" s="60">
        <v>6.08</v>
      </c>
      <c r="J11" s="63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 spans="1:38" ht="15.75" x14ac:dyDescent="0.25">
      <c r="A12" s="30">
        <v>45184</v>
      </c>
      <c r="B12" s="38">
        <v>1.25</v>
      </c>
      <c r="C12" s="36">
        <v>3.27</v>
      </c>
      <c r="D12" s="36">
        <v>2.38</v>
      </c>
      <c r="E12" s="36">
        <v>2.0350000000000001</v>
      </c>
      <c r="F12" s="36">
        <v>2.0150000000000001</v>
      </c>
      <c r="G12" s="36">
        <v>1.55</v>
      </c>
      <c r="H12" s="36">
        <v>6.0250000000000004</v>
      </c>
      <c r="I12" s="36">
        <v>6.07</v>
      </c>
      <c r="J12" s="39"/>
    </row>
    <row r="13" spans="1:38" s="64" customFormat="1" ht="15.75" x14ac:dyDescent="0.25">
      <c r="A13" s="29">
        <v>45187</v>
      </c>
      <c r="B13" s="62">
        <v>1.26</v>
      </c>
      <c r="C13" s="60">
        <v>3.26</v>
      </c>
      <c r="D13" s="60">
        <v>2.37</v>
      </c>
      <c r="E13" s="60">
        <v>2.0099999999999998</v>
      </c>
      <c r="F13" s="60">
        <v>2.02</v>
      </c>
      <c r="G13" s="60">
        <v>1.55</v>
      </c>
      <c r="H13" s="60">
        <v>6.0149999999999997</v>
      </c>
      <c r="I13" s="60">
        <v>4.9800000000000004</v>
      </c>
      <c r="J13" s="6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</row>
    <row r="14" spans="1:38" ht="15.75" x14ac:dyDescent="0.25">
      <c r="A14" s="30">
        <v>45188</v>
      </c>
      <c r="B14" s="55">
        <v>1.27</v>
      </c>
      <c r="C14" s="56">
        <v>3.27</v>
      </c>
      <c r="D14" s="56">
        <v>2.38</v>
      </c>
      <c r="E14" s="56">
        <v>2.02</v>
      </c>
      <c r="F14" s="56">
        <v>2.0150000000000001</v>
      </c>
      <c r="G14" s="56">
        <v>1.54</v>
      </c>
      <c r="H14" s="56">
        <v>6.02</v>
      </c>
      <c r="I14" s="56">
        <f>5.02+4.23</f>
        <v>9.25</v>
      </c>
      <c r="J14" s="57"/>
    </row>
    <row r="15" spans="1:38" s="64" customFormat="1" ht="15.75" x14ac:dyDescent="0.25">
      <c r="A15" s="29">
        <v>45189</v>
      </c>
      <c r="B15" s="66">
        <v>1.2849999999999999</v>
      </c>
      <c r="C15" s="67">
        <v>3.28</v>
      </c>
      <c r="D15" s="67">
        <v>2.375</v>
      </c>
      <c r="E15" s="67">
        <v>2.0150000000000001</v>
      </c>
      <c r="F15" s="67">
        <v>2.0099999999999998</v>
      </c>
      <c r="G15" s="67">
        <v>1.54</v>
      </c>
      <c r="H15" s="67">
        <v>6.0250000000000004</v>
      </c>
      <c r="I15" s="67">
        <v>5.03</v>
      </c>
      <c r="J15" s="68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 spans="1:38" ht="15.75" x14ac:dyDescent="0.25">
      <c r="A16" s="30">
        <v>45190</v>
      </c>
      <c r="B16" s="55">
        <v>1.27</v>
      </c>
      <c r="C16" s="56">
        <v>3.2749999999999999</v>
      </c>
      <c r="D16" s="56">
        <v>2.38</v>
      </c>
      <c r="E16" s="56">
        <v>2.0249999999999999</v>
      </c>
      <c r="F16" s="56">
        <v>2.02</v>
      </c>
      <c r="G16" s="56">
        <v>1.5349999999999999</v>
      </c>
      <c r="H16" s="56">
        <v>6.02</v>
      </c>
      <c r="I16" s="56">
        <v>5.04</v>
      </c>
      <c r="J16" s="57"/>
    </row>
    <row r="17" spans="1:38" s="64" customFormat="1" ht="15.75" x14ac:dyDescent="0.25">
      <c r="A17" s="29">
        <v>45191</v>
      </c>
      <c r="B17" s="66">
        <v>1.28</v>
      </c>
      <c r="C17" s="67">
        <v>3.28</v>
      </c>
      <c r="D17" s="67">
        <v>2.38</v>
      </c>
      <c r="E17" s="67">
        <v>2.0299999999999998</v>
      </c>
      <c r="F17" s="67">
        <v>2.0150000000000001</v>
      </c>
      <c r="G17" s="67">
        <v>1.53</v>
      </c>
      <c r="H17" s="67">
        <v>6.03</v>
      </c>
      <c r="I17" s="67">
        <v>5.08</v>
      </c>
      <c r="J17" s="68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</row>
    <row r="18" spans="1:38" ht="15.75" x14ac:dyDescent="0.25">
      <c r="A18" s="30">
        <v>45194</v>
      </c>
      <c r="B18" s="55">
        <v>1.28</v>
      </c>
      <c r="C18" s="56">
        <v>3.26</v>
      </c>
      <c r="D18" s="56">
        <v>2.375</v>
      </c>
      <c r="E18" s="56">
        <v>2.04</v>
      </c>
      <c r="F18" s="56">
        <v>2.02</v>
      </c>
      <c r="G18" s="56">
        <v>1.54</v>
      </c>
      <c r="H18" s="56">
        <v>6.04</v>
      </c>
      <c r="I18" s="56">
        <v>5.0250000000000004</v>
      </c>
      <c r="J18" s="57"/>
    </row>
    <row r="19" spans="1:38" s="64" customFormat="1" ht="15.75" x14ac:dyDescent="0.25">
      <c r="A19" s="29">
        <v>45195</v>
      </c>
      <c r="B19" s="66">
        <v>1.2749999999999999</v>
      </c>
      <c r="C19" s="67">
        <v>3.28</v>
      </c>
      <c r="D19" s="67">
        <v>2.38</v>
      </c>
      <c r="E19" s="67">
        <v>2.0150000000000001</v>
      </c>
      <c r="F19" s="67">
        <v>2.0299999999999998</v>
      </c>
      <c r="G19" s="67">
        <v>1.5349999999999999</v>
      </c>
      <c r="H19" s="67">
        <v>6.0350000000000001</v>
      </c>
      <c r="I19" s="67">
        <f>5.015+4.27</f>
        <v>9.2850000000000001</v>
      </c>
      <c r="J19" s="68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</row>
    <row r="20" spans="1:38" ht="15.75" x14ac:dyDescent="0.25">
      <c r="A20" s="30">
        <v>45196</v>
      </c>
      <c r="B20" s="55">
        <v>1.26</v>
      </c>
      <c r="C20" s="56">
        <v>3.27</v>
      </c>
      <c r="D20" s="56">
        <v>2.375</v>
      </c>
      <c r="E20" s="56">
        <v>2.0299999999999998</v>
      </c>
      <c r="F20" s="56">
        <v>2.0249999999999999</v>
      </c>
      <c r="G20" s="56">
        <v>1.53</v>
      </c>
      <c r="H20" s="56">
        <v>6.02</v>
      </c>
      <c r="I20" s="56">
        <v>5.01</v>
      </c>
      <c r="J20" s="57"/>
    </row>
    <row r="21" spans="1:38" s="64" customFormat="1" ht="15.75" x14ac:dyDescent="0.25">
      <c r="A21" s="29">
        <v>45197</v>
      </c>
      <c r="B21" s="66">
        <v>1.2549999999999999</v>
      </c>
      <c r="C21" s="67">
        <v>3.25</v>
      </c>
      <c r="D21" s="67">
        <v>2.35</v>
      </c>
      <c r="E21" s="67">
        <v>2.0049999999999999</v>
      </c>
      <c r="F21" s="67">
        <v>2.0099999999999998</v>
      </c>
      <c r="G21" s="67">
        <v>1.51</v>
      </c>
      <c r="H21" s="67">
        <v>6.01</v>
      </c>
      <c r="I21" s="67">
        <v>5.0049999999999999</v>
      </c>
      <c r="J21" s="68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</row>
    <row r="22" spans="1:38" ht="15.75" x14ac:dyDescent="0.25">
      <c r="A22" s="30">
        <v>45198</v>
      </c>
      <c r="B22" s="55">
        <v>1.26</v>
      </c>
      <c r="C22" s="56">
        <v>3.26</v>
      </c>
      <c r="D22" s="56">
        <v>2.36</v>
      </c>
      <c r="E22" s="56">
        <v>2.0150000000000001</v>
      </c>
      <c r="F22" s="56">
        <v>2.0049999999999999</v>
      </c>
      <c r="G22" s="56">
        <v>1.5149999999999999</v>
      </c>
      <c r="H22" s="56">
        <v>6.02</v>
      </c>
      <c r="I22" s="56">
        <v>5.01</v>
      </c>
      <c r="J22" s="57"/>
    </row>
    <row r="23" spans="1:38" s="64" customFormat="1" ht="15.75" x14ac:dyDescent="0.25">
      <c r="A23" s="29"/>
      <c r="B23" s="66"/>
      <c r="C23" s="67"/>
      <c r="D23" s="67"/>
      <c r="E23" s="67"/>
      <c r="F23" s="67"/>
      <c r="G23" s="67"/>
      <c r="H23" s="67"/>
      <c r="I23" s="67"/>
      <c r="J23" s="68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</row>
    <row r="24" spans="1:38" ht="15.75" x14ac:dyDescent="0.25">
      <c r="A24" s="30"/>
      <c r="B24" s="55"/>
      <c r="C24" s="56"/>
      <c r="D24" s="56"/>
      <c r="E24" s="56"/>
      <c r="F24" s="56"/>
      <c r="G24" s="56"/>
      <c r="H24" s="56"/>
      <c r="I24" s="56"/>
      <c r="J24" s="57"/>
    </row>
    <row r="25" spans="1:38" s="64" customFormat="1" ht="16.5" thickBot="1" x14ac:dyDescent="0.3">
      <c r="A25" s="58"/>
      <c r="B25" s="69"/>
      <c r="C25" s="70"/>
      <c r="D25" s="70"/>
      <c r="E25" s="70"/>
      <c r="F25" s="70"/>
      <c r="G25" s="70"/>
      <c r="H25" s="70"/>
      <c r="I25" s="70"/>
      <c r="J25" s="71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</row>
    <row r="26" spans="1:38" ht="19.5" thickBot="1" x14ac:dyDescent="0.3">
      <c r="B26" s="5">
        <f>SUM(B2:B25)</f>
        <v>25.295000000000002</v>
      </c>
      <c r="C26" s="5">
        <f t="shared" ref="C26:J26" si="0">SUM(C2:C25)</f>
        <v>71.815000000000012</v>
      </c>
      <c r="D26" s="5">
        <f t="shared" si="0"/>
        <v>47.345000000000006</v>
      </c>
      <c r="E26" s="5">
        <f>SUM(E2:E25)</f>
        <v>40.405000000000008</v>
      </c>
      <c r="F26" s="5">
        <f t="shared" si="0"/>
        <v>40.364999999999995</v>
      </c>
      <c r="G26" s="5">
        <f t="shared" si="0"/>
        <v>30.590000000000003</v>
      </c>
      <c r="H26" s="5">
        <f>SUM(H2:H25)</f>
        <v>121.92999999999999</v>
      </c>
      <c r="I26" s="5">
        <f t="shared" si="0"/>
        <v>119.09</v>
      </c>
      <c r="J26" s="5">
        <f t="shared" si="0"/>
        <v>0</v>
      </c>
    </row>
    <row r="27" spans="1:38" ht="15.75" thickBot="1" x14ac:dyDescent="0.3">
      <c r="B27" s="2" t="s">
        <v>0</v>
      </c>
      <c r="C27" s="3" t="s">
        <v>1</v>
      </c>
      <c r="D27" s="2" t="s">
        <v>2</v>
      </c>
      <c r="E27" s="4" t="s">
        <v>3</v>
      </c>
      <c r="F27" s="2" t="s">
        <v>4</v>
      </c>
      <c r="G27" s="4" t="s">
        <v>5</v>
      </c>
      <c r="H27" s="2" t="s">
        <v>6</v>
      </c>
      <c r="I27" s="4" t="s">
        <v>7</v>
      </c>
      <c r="J27" s="2"/>
    </row>
    <row r="28" spans="1:38" ht="15.75" thickBot="1" x14ac:dyDescent="0.3"/>
    <row r="29" spans="1:38" ht="18.75" x14ac:dyDescent="0.3">
      <c r="B29" s="87" t="s">
        <v>8</v>
      </c>
      <c r="C29" s="88"/>
      <c r="D29" s="88"/>
      <c r="E29" s="87" t="s">
        <v>9</v>
      </c>
      <c r="F29" s="89"/>
      <c r="G29" s="88" t="s">
        <v>10</v>
      </c>
      <c r="H29" s="88"/>
      <c r="I29" s="89"/>
      <c r="J29" s="16"/>
    </row>
    <row r="30" spans="1:38" x14ac:dyDescent="0.25">
      <c r="B30" s="90">
        <f>B26+C26+D26</f>
        <v>144.45500000000001</v>
      </c>
      <c r="C30" s="91"/>
      <c r="D30" s="91"/>
      <c r="E30" s="90">
        <f>E26+F26</f>
        <v>80.77000000000001</v>
      </c>
      <c r="F30" s="94"/>
      <c r="G30" s="96">
        <f>G26+H26+I26</f>
        <v>271.61</v>
      </c>
      <c r="H30" s="91"/>
      <c r="I30" s="94"/>
      <c r="J30" s="102"/>
    </row>
    <row r="31" spans="1:38" ht="15.75" thickBot="1" x14ac:dyDescent="0.3">
      <c r="B31" s="92"/>
      <c r="C31" s="93"/>
      <c r="D31" s="93"/>
      <c r="E31" s="92"/>
      <c r="F31" s="95"/>
      <c r="G31" s="93"/>
      <c r="H31" s="93"/>
      <c r="I31" s="95"/>
      <c r="J31" s="98"/>
    </row>
    <row r="35" spans="4:8" ht="15.75" x14ac:dyDescent="0.25">
      <c r="G35" s="46"/>
    </row>
    <row r="36" spans="4:8" x14ac:dyDescent="0.25">
      <c r="H36" s="45"/>
    </row>
    <row r="38" spans="4:8" x14ac:dyDescent="0.25">
      <c r="D38" s="45"/>
    </row>
  </sheetData>
  <mergeCells count="8">
    <mergeCell ref="B1:J1"/>
    <mergeCell ref="B29:D29"/>
    <mergeCell ref="E29:F29"/>
    <mergeCell ref="G29:I29"/>
    <mergeCell ref="B30:D31"/>
    <mergeCell ref="E30:F31"/>
    <mergeCell ref="G30:I31"/>
    <mergeCell ref="J30:J31"/>
  </mergeCells>
  <pageMargins left="0.51181102362204722" right="0.51181102362204722" top="0.41" bottom="0.6" header="0.31496062992125984" footer="0.31496062992125984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38"/>
  <sheetViews>
    <sheetView workbookViewId="0">
      <selection activeCell="L31" sqref="L31"/>
    </sheetView>
  </sheetViews>
  <sheetFormatPr defaultColWidth="10.7109375" defaultRowHeight="15" x14ac:dyDescent="0.25"/>
  <cols>
    <col min="1" max="1" width="15.140625" customWidth="1"/>
    <col min="2" max="2" width="12" bestFit="1" customWidth="1"/>
  </cols>
  <sheetData>
    <row r="1" spans="1:38" ht="33" customHeight="1" thickBot="1" x14ac:dyDescent="0.3">
      <c r="A1" s="44" t="s">
        <v>14</v>
      </c>
      <c r="B1" s="84" t="s">
        <v>22</v>
      </c>
      <c r="C1" s="85"/>
      <c r="D1" s="85"/>
      <c r="E1" s="85"/>
      <c r="F1" s="85"/>
      <c r="G1" s="85"/>
      <c r="H1" s="85"/>
      <c r="I1" s="85"/>
      <c r="J1" s="86"/>
    </row>
    <row r="2" spans="1:38" ht="15.75" x14ac:dyDescent="0.25">
      <c r="A2" s="30">
        <v>45201</v>
      </c>
      <c r="B2" s="31">
        <v>0</v>
      </c>
      <c r="C2" s="32">
        <v>0</v>
      </c>
      <c r="D2" s="32">
        <v>0</v>
      </c>
      <c r="E2" s="32">
        <v>0</v>
      </c>
      <c r="F2" s="32">
        <v>0</v>
      </c>
      <c r="G2" s="32">
        <v>0</v>
      </c>
      <c r="H2" s="32">
        <v>0</v>
      </c>
      <c r="I2" s="32">
        <v>0</v>
      </c>
      <c r="J2" s="33"/>
    </row>
    <row r="3" spans="1:38" ht="15.75" x14ac:dyDescent="0.25">
      <c r="A3" s="29">
        <v>45202</v>
      </c>
      <c r="B3" s="24">
        <v>1.26</v>
      </c>
      <c r="C3" s="25">
        <v>3.2549999999999999</v>
      </c>
      <c r="D3" s="25">
        <v>2.3650000000000002</v>
      </c>
      <c r="E3" s="25">
        <v>2.0350000000000001</v>
      </c>
      <c r="F3" s="25">
        <v>2.0249999999999999</v>
      </c>
      <c r="G3" s="25">
        <v>1.5249999999999999</v>
      </c>
      <c r="H3" s="25">
        <v>6.02</v>
      </c>
      <c r="I3" s="25">
        <v>6.03</v>
      </c>
      <c r="J3" s="26"/>
    </row>
    <row r="4" spans="1:38" ht="15.75" x14ac:dyDescent="0.25">
      <c r="A4" s="30">
        <v>45203</v>
      </c>
      <c r="B4" s="35">
        <v>1.2549999999999999</v>
      </c>
      <c r="C4" s="36">
        <v>3.2650000000000001</v>
      </c>
      <c r="D4" s="36">
        <v>2.37</v>
      </c>
      <c r="E4" s="36">
        <v>2.0350000000000001</v>
      </c>
      <c r="F4" s="36">
        <v>2.06</v>
      </c>
      <c r="G4" s="36">
        <v>1.5149999999999999</v>
      </c>
      <c r="H4" s="36">
        <f>6.04 + 5.105</f>
        <v>11.145</v>
      </c>
      <c r="I4" s="36">
        <v>6.02</v>
      </c>
      <c r="J4" s="37"/>
    </row>
    <row r="5" spans="1:38" ht="15.75" x14ac:dyDescent="0.25">
      <c r="A5" s="29">
        <v>45204</v>
      </c>
      <c r="B5" s="59">
        <v>1.2749999999999999</v>
      </c>
      <c r="C5" s="60">
        <v>3.25</v>
      </c>
      <c r="D5" s="60">
        <v>2.38</v>
      </c>
      <c r="E5" s="60">
        <v>2.0449999999999999</v>
      </c>
      <c r="F5" s="60">
        <v>2.0150000000000001</v>
      </c>
      <c r="G5" s="60">
        <v>1.5</v>
      </c>
      <c r="H5" s="60">
        <v>6.0350000000000001</v>
      </c>
      <c r="I5" s="60">
        <v>6</v>
      </c>
      <c r="J5" s="61"/>
    </row>
    <row r="6" spans="1:38" ht="15.75" x14ac:dyDescent="0.25">
      <c r="A6" s="30">
        <v>45205</v>
      </c>
      <c r="B6" s="38">
        <v>1.2649999999999999</v>
      </c>
      <c r="C6" s="36">
        <v>3.2749999999999999</v>
      </c>
      <c r="D6" s="36">
        <v>2.355</v>
      </c>
      <c r="E6" s="36">
        <v>2.02</v>
      </c>
      <c r="F6" s="36">
        <v>2.02</v>
      </c>
      <c r="G6" s="36">
        <v>1.52</v>
      </c>
      <c r="H6" s="36">
        <v>6.05</v>
      </c>
      <c r="I6" s="36">
        <v>6.0049999999999999</v>
      </c>
      <c r="J6" s="39"/>
    </row>
    <row r="7" spans="1:38" ht="15.75" x14ac:dyDescent="0.25">
      <c r="A7" s="29">
        <v>45208</v>
      </c>
      <c r="B7" s="62">
        <v>0</v>
      </c>
      <c r="C7" s="60">
        <v>0</v>
      </c>
      <c r="D7" s="60">
        <v>0</v>
      </c>
      <c r="E7" s="60">
        <v>0</v>
      </c>
      <c r="F7" s="60">
        <v>0</v>
      </c>
      <c r="G7" s="60">
        <v>0</v>
      </c>
      <c r="H7" s="60">
        <v>0</v>
      </c>
      <c r="I7" s="60">
        <v>0</v>
      </c>
      <c r="J7" s="63"/>
    </row>
    <row r="8" spans="1:38" ht="15.75" x14ac:dyDescent="0.25">
      <c r="A8" s="30">
        <v>45209</v>
      </c>
      <c r="B8" s="38">
        <v>0</v>
      </c>
      <c r="C8" s="36">
        <v>0</v>
      </c>
      <c r="D8" s="36">
        <v>0</v>
      </c>
      <c r="E8" s="36">
        <v>0</v>
      </c>
      <c r="F8" s="36">
        <v>0</v>
      </c>
      <c r="G8" s="36">
        <v>0</v>
      </c>
      <c r="H8" s="36">
        <v>0</v>
      </c>
      <c r="I8" s="36">
        <v>0</v>
      </c>
      <c r="J8" s="39"/>
    </row>
    <row r="9" spans="1:38" ht="15.75" x14ac:dyDescent="0.25">
      <c r="A9" s="29">
        <v>45210</v>
      </c>
      <c r="B9" s="62">
        <v>0</v>
      </c>
      <c r="C9" s="60">
        <v>0</v>
      </c>
      <c r="D9" s="60">
        <v>0</v>
      </c>
      <c r="E9" s="60">
        <v>0</v>
      </c>
      <c r="F9" s="60">
        <v>0</v>
      </c>
      <c r="G9" s="60">
        <v>0</v>
      </c>
      <c r="H9" s="60">
        <v>0</v>
      </c>
      <c r="I9" s="60">
        <v>0</v>
      </c>
      <c r="J9" s="63"/>
    </row>
    <row r="10" spans="1:38" ht="15.75" x14ac:dyDescent="0.25">
      <c r="A10" s="30">
        <v>45211</v>
      </c>
      <c r="B10" s="38">
        <v>0</v>
      </c>
      <c r="C10" s="36">
        <v>0</v>
      </c>
      <c r="D10" s="36">
        <v>0</v>
      </c>
      <c r="E10" s="36">
        <v>0</v>
      </c>
      <c r="F10" s="36">
        <v>0</v>
      </c>
      <c r="G10" s="36">
        <v>0</v>
      </c>
      <c r="H10" s="36">
        <v>0</v>
      </c>
      <c r="I10" s="36">
        <v>0</v>
      </c>
      <c r="J10" s="39"/>
    </row>
    <row r="11" spans="1:38" s="64" customFormat="1" ht="15.75" x14ac:dyDescent="0.25">
      <c r="A11" s="29">
        <v>45212</v>
      </c>
      <c r="B11" s="62">
        <v>0</v>
      </c>
      <c r="C11" s="60">
        <v>0</v>
      </c>
      <c r="D11" s="60">
        <v>0</v>
      </c>
      <c r="E11" s="60">
        <v>0</v>
      </c>
      <c r="F11" s="60">
        <v>0</v>
      </c>
      <c r="G11" s="60">
        <v>0</v>
      </c>
      <c r="H11" s="60">
        <v>0</v>
      </c>
      <c r="I11" s="60">
        <v>0</v>
      </c>
      <c r="J11" s="63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 spans="1:38" ht="15.75" x14ac:dyDescent="0.25">
      <c r="A12" s="30">
        <v>45215</v>
      </c>
      <c r="B12" s="38">
        <v>1.27</v>
      </c>
      <c r="C12" s="36">
        <v>3.28</v>
      </c>
      <c r="D12" s="36">
        <v>2.37</v>
      </c>
      <c r="E12" s="36">
        <v>2.04</v>
      </c>
      <c r="F12" s="36">
        <v>2.0299999999999998</v>
      </c>
      <c r="G12" s="36">
        <v>1.52</v>
      </c>
      <c r="H12" s="36">
        <v>6.03</v>
      </c>
      <c r="I12" s="36">
        <v>6.03</v>
      </c>
      <c r="J12" s="39"/>
    </row>
    <row r="13" spans="1:38" s="64" customFormat="1" ht="15.75" x14ac:dyDescent="0.25">
      <c r="A13" s="29">
        <v>45216</v>
      </c>
      <c r="B13" s="62">
        <v>1.26</v>
      </c>
      <c r="C13" s="60">
        <v>3.27</v>
      </c>
      <c r="D13" s="60">
        <v>2.36</v>
      </c>
      <c r="E13" s="60">
        <v>2.02</v>
      </c>
      <c r="F13" s="60">
        <v>2.0150000000000001</v>
      </c>
      <c r="G13" s="60">
        <v>1.53</v>
      </c>
      <c r="H13" s="60">
        <v>6.02</v>
      </c>
      <c r="I13" s="60">
        <v>6</v>
      </c>
      <c r="J13" s="6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</row>
    <row r="14" spans="1:38" ht="15.75" x14ac:dyDescent="0.25">
      <c r="A14" s="30">
        <v>45217</v>
      </c>
      <c r="B14" s="55">
        <v>1.2649999999999999</v>
      </c>
      <c r="C14" s="56">
        <v>3.26</v>
      </c>
      <c r="D14" s="56">
        <v>2.3650000000000002</v>
      </c>
      <c r="E14" s="56">
        <v>2.0150000000000001</v>
      </c>
      <c r="F14" s="56">
        <v>2.02</v>
      </c>
      <c r="G14" s="56">
        <v>1.52</v>
      </c>
      <c r="H14" s="56">
        <v>6.02</v>
      </c>
      <c r="I14" s="56">
        <v>6.0149999999999997</v>
      </c>
      <c r="J14" s="57"/>
    </row>
    <row r="15" spans="1:38" s="64" customFormat="1" ht="15.75" x14ac:dyDescent="0.25">
      <c r="A15" s="29">
        <v>45218</v>
      </c>
      <c r="B15" s="66">
        <v>1.27</v>
      </c>
      <c r="C15" s="67">
        <v>3.28</v>
      </c>
      <c r="D15" s="67">
        <v>2.37</v>
      </c>
      <c r="E15" s="67">
        <v>2.02</v>
      </c>
      <c r="F15" s="67">
        <v>2.0249999999999999</v>
      </c>
      <c r="G15" s="67">
        <v>1.5349999999999999</v>
      </c>
      <c r="H15" s="67">
        <v>6.03</v>
      </c>
      <c r="I15" s="67">
        <v>6.02</v>
      </c>
      <c r="J15" s="68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 spans="1:38" ht="15.75" x14ac:dyDescent="0.25">
      <c r="A16" s="30">
        <v>45219</v>
      </c>
      <c r="B16" s="55">
        <v>1.26</v>
      </c>
      <c r="C16" s="56">
        <v>3.27</v>
      </c>
      <c r="D16" s="56">
        <v>2.38</v>
      </c>
      <c r="E16" s="56">
        <v>2.04</v>
      </c>
      <c r="F16" s="56">
        <v>2.0299999999999998</v>
      </c>
      <c r="G16" s="56">
        <v>1.51</v>
      </c>
      <c r="H16" s="56">
        <v>6.01</v>
      </c>
      <c r="I16" s="56">
        <v>5.57</v>
      </c>
      <c r="J16" s="57"/>
    </row>
    <row r="17" spans="1:38" s="64" customFormat="1" ht="15.75" x14ac:dyDescent="0.25">
      <c r="A17" s="29">
        <v>45222</v>
      </c>
      <c r="B17" s="66">
        <v>1.28</v>
      </c>
      <c r="C17" s="67">
        <v>3.28</v>
      </c>
      <c r="D17" s="67">
        <v>2.38</v>
      </c>
      <c r="E17" s="67">
        <v>2.04</v>
      </c>
      <c r="F17" s="67">
        <v>2.0350000000000001</v>
      </c>
      <c r="G17" s="67">
        <v>1.54</v>
      </c>
      <c r="H17" s="67">
        <v>6.04</v>
      </c>
      <c r="I17" s="67">
        <f>5.56 + 2.105</f>
        <v>7.6649999999999991</v>
      </c>
      <c r="J17" s="68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</row>
    <row r="18" spans="1:38" ht="15.75" x14ac:dyDescent="0.25">
      <c r="A18" s="30">
        <v>45223</v>
      </c>
      <c r="B18" s="55">
        <v>1.28</v>
      </c>
      <c r="C18" s="56">
        <v>3.2749999999999999</v>
      </c>
      <c r="D18" s="56">
        <v>2.375</v>
      </c>
      <c r="E18" s="56">
        <v>2.0299999999999998</v>
      </c>
      <c r="F18" s="56">
        <v>2.04</v>
      </c>
      <c r="G18" s="56">
        <v>1.5449999999999999</v>
      </c>
      <c r="H18" s="56">
        <v>6.0449999999999999</v>
      </c>
      <c r="I18" s="56">
        <v>5.51</v>
      </c>
      <c r="J18" s="57"/>
    </row>
    <row r="19" spans="1:38" s="64" customFormat="1" ht="15.75" x14ac:dyDescent="0.25">
      <c r="A19" s="29">
        <v>45224</v>
      </c>
      <c r="B19" s="66">
        <v>1.2749999999999999</v>
      </c>
      <c r="C19" s="67">
        <v>3.28</v>
      </c>
      <c r="D19" s="67">
        <v>2.38</v>
      </c>
      <c r="E19" s="67">
        <v>2.0449999999999999</v>
      </c>
      <c r="F19" s="67">
        <v>2.0449999999999999</v>
      </c>
      <c r="G19" s="67">
        <v>1.55</v>
      </c>
      <c r="H19" s="67">
        <v>6.03</v>
      </c>
      <c r="I19" s="67">
        <v>5.53</v>
      </c>
      <c r="J19" s="68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</row>
    <row r="20" spans="1:38" ht="15.75" x14ac:dyDescent="0.25">
      <c r="A20" s="30">
        <v>45225</v>
      </c>
      <c r="B20" s="55">
        <v>1.28</v>
      </c>
      <c r="C20" s="56">
        <v>3.27</v>
      </c>
      <c r="D20" s="56">
        <v>2.375</v>
      </c>
      <c r="E20" s="56">
        <v>2.0499999999999998</v>
      </c>
      <c r="F20" s="56">
        <v>2.0350000000000001</v>
      </c>
      <c r="G20" s="56">
        <v>1.575</v>
      </c>
      <c r="H20" s="56">
        <v>6.04</v>
      </c>
      <c r="I20" s="56">
        <v>5.59</v>
      </c>
      <c r="J20" s="57"/>
    </row>
    <row r="21" spans="1:38" s="64" customFormat="1" ht="15.75" x14ac:dyDescent="0.25">
      <c r="A21" s="29">
        <v>45226</v>
      </c>
      <c r="B21" s="66">
        <v>1.27</v>
      </c>
      <c r="C21" s="67">
        <v>3.2749999999999999</v>
      </c>
      <c r="D21" s="67">
        <v>2.3849999999999998</v>
      </c>
      <c r="E21" s="67">
        <v>2.04</v>
      </c>
      <c r="F21" s="67">
        <v>2.0249999999999999</v>
      </c>
      <c r="G21" s="67">
        <v>1.58</v>
      </c>
      <c r="H21" s="67">
        <v>6.0350000000000001</v>
      </c>
      <c r="I21" s="67">
        <v>5.57</v>
      </c>
      <c r="J21" s="68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</row>
    <row r="22" spans="1:38" ht="15.75" x14ac:dyDescent="0.25">
      <c r="A22" s="30">
        <v>45229</v>
      </c>
      <c r="B22" s="55">
        <v>1.28</v>
      </c>
      <c r="C22" s="56">
        <v>3.3</v>
      </c>
      <c r="D22" s="56">
        <v>2.4</v>
      </c>
      <c r="E22" s="56">
        <v>2.0350000000000001</v>
      </c>
      <c r="F22" s="56">
        <v>2.04</v>
      </c>
      <c r="G22" s="56">
        <v>1.59</v>
      </c>
      <c r="H22" s="56">
        <v>6.05</v>
      </c>
      <c r="I22" s="56">
        <f>5.51 + 1.63</f>
        <v>7.14</v>
      </c>
      <c r="J22" s="57"/>
    </row>
    <row r="23" spans="1:38" s="64" customFormat="1" ht="15.75" x14ac:dyDescent="0.25">
      <c r="A23" s="29">
        <v>45230</v>
      </c>
      <c r="B23" s="66">
        <v>1.2749999999999999</v>
      </c>
      <c r="C23" s="67">
        <v>3.28</v>
      </c>
      <c r="D23" s="67">
        <v>2.3849999999999998</v>
      </c>
      <c r="E23" s="67">
        <v>2.04</v>
      </c>
      <c r="F23" s="67">
        <v>2.0099999999999998</v>
      </c>
      <c r="G23" s="67">
        <v>1.585</v>
      </c>
      <c r="H23" s="67">
        <v>6.0449999999999999</v>
      </c>
      <c r="I23" s="67">
        <f>5.58 + 1.62</f>
        <v>7.2</v>
      </c>
      <c r="J23" s="68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</row>
    <row r="24" spans="1:38" ht="15.75" x14ac:dyDescent="0.25">
      <c r="A24" s="30"/>
      <c r="B24" s="55"/>
      <c r="C24" s="56"/>
      <c r="D24" s="56"/>
      <c r="E24" s="56"/>
      <c r="F24" s="56"/>
      <c r="G24" s="56"/>
      <c r="H24" s="56"/>
      <c r="I24" s="56"/>
      <c r="J24" s="57"/>
    </row>
    <row r="25" spans="1:38" s="64" customFormat="1" ht="16.5" thickBot="1" x14ac:dyDescent="0.3">
      <c r="A25" s="58"/>
      <c r="B25" s="69"/>
      <c r="C25" s="70"/>
      <c r="D25" s="70"/>
      <c r="E25" s="70"/>
      <c r="F25" s="70"/>
      <c r="G25" s="70"/>
      <c r="H25" s="70"/>
      <c r="I25" s="70"/>
      <c r="J25" s="71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</row>
    <row r="26" spans="1:38" ht="19.5" thickBot="1" x14ac:dyDescent="0.3">
      <c r="B26" s="5">
        <f>SUM(B2:B25)</f>
        <v>20.319999999999997</v>
      </c>
      <c r="C26" s="5">
        <f t="shared" ref="C26:J26" si="0">SUM(C2:C25)</f>
        <v>52.364999999999995</v>
      </c>
      <c r="D26" s="5">
        <f t="shared" si="0"/>
        <v>37.99499999999999</v>
      </c>
      <c r="E26" s="5">
        <f>SUM(E2:E25)</f>
        <v>32.549999999999997</v>
      </c>
      <c r="F26" s="5">
        <f t="shared" si="0"/>
        <v>32.47</v>
      </c>
      <c r="G26" s="5">
        <f t="shared" si="0"/>
        <v>24.639999999999997</v>
      </c>
      <c r="H26" s="5">
        <f>SUM(H2:H25)</f>
        <v>101.645</v>
      </c>
      <c r="I26" s="5">
        <f t="shared" si="0"/>
        <v>97.89500000000001</v>
      </c>
      <c r="J26" s="5">
        <f t="shared" si="0"/>
        <v>0</v>
      </c>
    </row>
    <row r="27" spans="1:38" ht="15.75" thickBot="1" x14ac:dyDescent="0.3">
      <c r="B27" s="2" t="s">
        <v>0</v>
      </c>
      <c r="C27" s="3" t="s">
        <v>1</v>
      </c>
      <c r="D27" s="2" t="s">
        <v>2</v>
      </c>
      <c r="E27" s="4" t="s">
        <v>3</v>
      </c>
      <c r="F27" s="2" t="s">
        <v>4</v>
      </c>
      <c r="G27" s="4" t="s">
        <v>5</v>
      </c>
      <c r="H27" s="2" t="s">
        <v>6</v>
      </c>
      <c r="I27" s="4" t="s">
        <v>7</v>
      </c>
      <c r="J27" s="2"/>
    </row>
    <row r="28" spans="1:38" ht="15.75" thickBot="1" x14ac:dyDescent="0.3"/>
    <row r="29" spans="1:38" ht="18.75" x14ac:dyDescent="0.3">
      <c r="B29" s="87" t="s">
        <v>8</v>
      </c>
      <c r="C29" s="88"/>
      <c r="D29" s="88"/>
      <c r="E29" s="87" t="s">
        <v>9</v>
      </c>
      <c r="F29" s="89"/>
      <c r="G29" s="88" t="s">
        <v>10</v>
      </c>
      <c r="H29" s="88"/>
      <c r="I29" s="89"/>
      <c r="J29" s="16"/>
    </row>
    <row r="30" spans="1:38" x14ac:dyDescent="0.25">
      <c r="B30" s="90">
        <f>B26+C26+D26</f>
        <v>110.67999999999998</v>
      </c>
      <c r="C30" s="91"/>
      <c r="D30" s="91"/>
      <c r="E30" s="90">
        <f>E26+F26</f>
        <v>65.02</v>
      </c>
      <c r="F30" s="94"/>
      <c r="G30" s="96">
        <f>G26+H26+I26 + 52.03</f>
        <v>276.21000000000004</v>
      </c>
      <c r="H30" s="91"/>
      <c r="I30" s="94"/>
      <c r="J30" s="106">
        <f>B30+E30+G30</f>
        <v>451.91</v>
      </c>
    </row>
    <row r="31" spans="1:38" ht="15.75" thickBot="1" x14ac:dyDescent="0.3">
      <c r="B31" s="92"/>
      <c r="C31" s="93"/>
      <c r="D31" s="93"/>
      <c r="E31" s="92"/>
      <c r="F31" s="95"/>
      <c r="G31" s="93"/>
      <c r="H31" s="93"/>
      <c r="I31" s="95"/>
      <c r="J31" s="107"/>
    </row>
    <row r="35" spans="4:8" ht="15.75" x14ac:dyDescent="0.25">
      <c r="G35" s="46"/>
    </row>
    <row r="36" spans="4:8" x14ac:dyDescent="0.25">
      <c r="H36" s="45"/>
    </row>
    <row r="38" spans="4:8" x14ac:dyDescent="0.25">
      <c r="D38" s="45"/>
    </row>
  </sheetData>
  <mergeCells count="8">
    <mergeCell ref="B1:J1"/>
    <mergeCell ref="B29:D29"/>
    <mergeCell ref="E29:F29"/>
    <mergeCell ref="G29:I29"/>
    <mergeCell ref="B30:D31"/>
    <mergeCell ref="E30:F31"/>
    <mergeCell ref="G30:I31"/>
    <mergeCell ref="J30:J31"/>
  </mergeCells>
  <pageMargins left="0.51181102362204722" right="0.51181102362204722" top="0.44" bottom="0.61" header="0.31496062992125984" footer="0.31496062992125984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38"/>
  <sheetViews>
    <sheetView workbookViewId="0">
      <selection sqref="A1:XFD1048576"/>
    </sheetView>
  </sheetViews>
  <sheetFormatPr defaultColWidth="10.7109375" defaultRowHeight="15" x14ac:dyDescent="0.25"/>
  <cols>
    <col min="1" max="1" width="15.140625" customWidth="1"/>
    <col min="2" max="2" width="12" bestFit="1" customWidth="1"/>
  </cols>
  <sheetData>
    <row r="1" spans="1:38" ht="33" customHeight="1" thickBot="1" x14ac:dyDescent="0.3">
      <c r="A1" s="44" t="s">
        <v>14</v>
      </c>
      <c r="B1" s="84" t="s">
        <v>23</v>
      </c>
      <c r="C1" s="85"/>
      <c r="D1" s="85"/>
      <c r="E1" s="85"/>
      <c r="F1" s="85"/>
      <c r="G1" s="85"/>
      <c r="H1" s="85"/>
      <c r="I1" s="85"/>
      <c r="J1" s="86"/>
    </row>
    <row r="2" spans="1:38" ht="15.75" x14ac:dyDescent="0.25">
      <c r="A2" s="30">
        <v>45231</v>
      </c>
      <c r="B2" s="31">
        <v>1.28</v>
      </c>
      <c r="C2" s="32">
        <v>3.26</v>
      </c>
      <c r="D2" s="32">
        <v>2.34</v>
      </c>
      <c r="E2" s="32">
        <v>2.0099999999999998</v>
      </c>
      <c r="F2" s="32">
        <v>2.02</v>
      </c>
      <c r="G2" s="32">
        <v>1.53</v>
      </c>
      <c r="H2" s="32">
        <v>6.03</v>
      </c>
      <c r="I2" s="32">
        <v>5.51</v>
      </c>
      <c r="J2" s="33"/>
    </row>
    <row r="3" spans="1:38" s="73" customFormat="1" ht="15.75" x14ac:dyDescent="0.25">
      <c r="A3" s="29">
        <v>45236</v>
      </c>
      <c r="B3" s="24">
        <v>1.26</v>
      </c>
      <c r="C3" s="25">
        <v>3.2749999999999999</v>
      </c>
      <c r="D3" s="25">
        <v>2.3450000000000002</v>
      </c>
      <c r="E3" s="25">
        <v>2.04</v>
      </c>
      <c r="F3" s="25">
        <v>2.02</v>
      </c>
      <c r="G3" s="25">
        <v>1.5349999999999999</v>
      </c>
      <c r="H3" s="25">
        <v>6.0149999999999997</v>
      </c>
      <c r="I3" s="25">
        <v>5.5250000000000004</v>
      </c>
      <c r="J3" s="72"/>
    </row>
    <row r="4" spans="1:38" ht="15.75" x14ac:dyDescent="0.25">
      <c r="A4" s="30">
        <v>45237</v>
      </c>
      <c r="B4" s="35">
        <v>1.2649999999999999</v>
      </c>
      <c r="C4" s="36">
        <v>3.2450000000000001</v>
      </c>
      <c r="D4" s="36">
        <v>2.3199999999999998</v>
      </c>
      <c r="E4" s="36">
        <v>2.02</v>
      </c>
      <c r="F4" s="36">
        <v>2.0350000000000001</v>
      </c>
      <c r="G4" s="36">
        <v>1.5049999999999999</v>
      </c>
      <c r="H4" s="36">
        <v>6.04</v>
      </c>
      <c r="I4" s="36">
        <v>5.5</v>
      </c>
      <c r="J4" s="37"/>
    </row>
    <row r="5" spans="1:38" ht="15.75" x14ac:dyDescent="0.25">
      <c r="A5" s="29">
        <v>45238</v>
      </c>
      <c r="B5" s="59">
        <v>1.2749999999999999</v>
      </c>
      <c r="C5" s="60">
        <v>3.2549999999999999</v>
      </c>
      <c r="D5" s="60">
        <v>2.3149999999999999</v>
      </c>
      <c r="E5" s="60">
        <v>2.0249999999999999</v>
      </c>
      <c r="F5" s="60">
        <v>2.0249999999999999</v>
      </c>
      <c r="G5" s="60">
        <v>1.5149999999999999</v>
      </c>
      <c r="H5" s="60">
        <v>6.04</v>
      </c>
      <c r="I5" s="60">
        <v>5.5049999999999999</v>
      </c>
      <c r="J5" s="61"/>
    </row>
    <row r="6" spans="1:38" ht="15.75" x14ac:dyDescent="0.25">
      <c r="A6" s="30">
        <v>45239</v>
      </c>
      <c r="B6" s="38">
        <v>1.2549999999999999</v>
      </c>
      <c r="C6" s="36">
        <v>3.2549999999999999</v>
      </c>
      <c r="D6" s="36">
        <v>2.335</v>
      </c>
      <c r="E6" s="36">
        <v>2.0299999999999998</v>
      </c>
      <c r="F6" s="36">
        <v>2.02</v>
      </c>
      <c r="G6" s="36">
        <v>1.52</v>
      </c>
      <c r="H6" s="36">
        <v>6.02</v>
      </c>
      <c r="I6" s="36">
        <v>5.5149999999999997</v>
      </c>
      <c r="J6" s="39"/>
    </row>
    <row r="7" spans="1:38" ht="15.75" x14ac:dyDescent="0.25">
      <c r="A7" s="29">
        <v>45240</v>
      </c>
      <c r="B7" s="62">
        <v>1.27</v>
      </c>
      <c r="C7" s="60">
        <v>3.27</v>
      </c>
      <c r="D7" s="60">
        <v>2.35</v>
      </c>
      <c r="E7" s="60">
        <v>2.04</v>
      </c>
      <c r="F7" s="60">
        <v>2.0150000000000001</v>
      </c>
      <c r="G7" s="60">
        <v>1.53</v>
      </c>
      <c r="H7" s="60">
        <v>6.0149999999999997</v>
      </c>
      <c r="I7" s="60">
        <v>5.51</v>
      </c>
      <c r="J7" s="63"/>
    </row>
    <row r="8" spans="1:38" ht="15.75" x14ac:dyDescent="0.25">
      <c r="A8" s="30">
        <v>45243</v>
      </c>
      <c r="B8" s="38">
        <v>1.2649999999999999</v>
      </c>
      <c r="C8" s="36">
        <v>3.2650000000000001</v>
      </c>
      <c r="D8" s="36">
        <v>2.33</v>
      </c>
      <c r="E8" s="36">
        <v>2.0299999999999998</v>
      </c>
      <c r="F8" s="36">
        <v>2.0350000000000001</v>
      </c>
      <c r="G8" s="36">
        <v>1.5249999999999999</v>
      </c>
      <c r="H8" s="36">
        <v>6.0350000000000001</v>
      </c>
      <c r="I8" s="36">
        <v>5.5049999999999999</v>
      </c>
      <c r="J8" s="39"/>
    </row>
    <row r="9" spans="1:38" ht="15.75" x14ac:dyDescent="0.25">
      <c r="A9" s="29">
        <v>45244</v>
      </c>
      <c r="B9" s="62">
        <v>1.28</v>
      </c>
      <c r="C9" s="60">
        <v>3.28</v>
      </c>
      <c r="D9" s="60">
        <v>2.375</v>
      </c>
      <c r="E9" s="60">
        <v>2.0150000000000001</v>
      </c>
      <c r="F9" s="60">
        <v>2.04</v>
      </c>
      <c r="G9" s="60">
        <v>1.53</v>
      </c>
      <c r="H9" s="60">
        <v>6.02</v>
      </c>
      <c r="I9" s="60">
        <v>5.52</v>
      </c>
      <c r="J9" s="63"/>
    </row>
    <row r="10" spans="1:38" ht="15.75" x14ac:dyDescent="0.25">
      <c r="A10" s="30">
        <v>45246</v>
      </c>
      <c r="B10" s="38">
        <v>1.2649999999999999</v>
      </c>
      <c r="C10" s="36">
        <v>3.26</v>
      </c>
      <c r="D10" s="36">
        <v>2.3650000000000002</v>
      </c>
      <c r="E10" s="36">
        <v>2.0249999999999999</v>
      </c>
      <c r="F10" s="36">
        <v>2.02</v>
      </c>
      <c r="G10" s="36">
        <v>1.51</v>
      </c>
      <c r="H10" s="36">
        <v>6.0250000000000004</v>
      </c>
      <c r="I10" s="36">
        <v>5.5149999999999997</v>
      </c>
      <c r="J10" s="39"/>
    </row>
    <row r="11" spans="1:38" s="75" customFormat="1" ht="15.75" x14ac:dyDescent="0.25">
      <c r="A11" s="29">
        <v>45247</v>
      </c>
      <c r="B11" s="62">
        <v>1.2749999999999999</v>
      </c>
      <c r="C11" s="60">
        <v>3.2549999999999999</v>
      </c>
      <c r="D11" s="60">
        <v>2.38</v>
      </c>
      <c r="E11" s="60">
        <v>2.0249999999999999</v>
      </c>
      <c r="F11" s="60">
        <v>2.0249999999999999</v>
      </c>
      <c r="G11" s="60">
        <v>1.52</v>
      </c>
      <c r="H11" s="60">
        <v>6.0049999999999999</v>
      </c>
      <c r="I11" s="60">
        <v>5.51</v>
      </c>
      <c r="J11" s="74"/>
      <c r="K11" s="73"/>
      <c r="L11" s="73"/>
      <c r="M11" s="73"/>
      <c r="N11" s="73"/>
      <c r="O11" s="73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</row>
    <row r="12" spans="1:38" ht="15.75" x14ac:dyDescent="0.25">
      <c r="A12" s="30">
        <v>45250</v>
      </c>
      <c r="B12" s="38">
        <v>1.2549999999999999</v>
      </c>
      <c r="C12" s="36">
        <v>3.25</v>
      </c>
      <c r="D12" s="36">
        <v>2.355</v>
      </c>
      <c r="E12" s="36">
        <v>2.0099999999999998</v>
      </c>
      <c r="F12" s="36">
        <v>2.0350000000000001</v>
      </c>
      <c r="G12" s="36">
        <v>1.5349999999999999</v>
      </c>
      <c r="H12" s="36">
        <v>6.01</v>
      </c>
      <c r="I12" s="36">
        <v>5.53</v>
      </c>
      <c r="J12" s="39"/>
    </row>
    <row r="13" spans="1:38" s="64" customFormat="1" ht="15.75" x14ac:dyDescent="0.25">
      <c r="A13" s="29">
        <v>45251</v>
      </c>
      <c r="B13" s="62">
        <v>1.26</v>
      </c>
      <c r="C13" s="60">
        <v>3.27</v>
      </c>
      <c r="D13" s="60">
        <v>2.3650000000000002</v>
      </c>
      <c r="E13" s="60">
        <v>2.0350000000000001</v>
      </c>
      <c r="F13" s="60">
        <v>2.04</v>
      </c>
      <c r="G13" s="60">
        <v>1.5049999999999999</v>
      </c>
      <c r="H13" s="60">
        <v>6.03</v>
      </c>
      <c r="I13" s="60">
        <v>5.52</v>
      </c>
      <c r="J13" s="6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</row>
    <row r="14" spans="1:38" ht="15.75" x14ac:dyDescent="0.25">
      <c r="A14" s="30">
        <v>45252</v>
      </c>
      <c r="B14" s="38">
        <v>1.27</v>
      </c>
      <c r="C14" s="36">
        <v>3.2650000000000001</v>
      </c>
      <c r="D14" s="36">
        <v>2.3849999999999998</v>
      </c>
      <c r="E14" s="36">
        <v>2.04</v>
      </c>
      <c r="F14" s="36">
        <v>2.02</v>
      </c>
      <c r="G14" s="36">
        <v>1.51</v>
      </c>
      <c r="H14" s="36">
        <v>6.0449999999999999</v>
      </c>
      <c r="I14" s="36">
        <v>5.5250000000000004</v>
      </c>
      <c r="J14" s="57"/>
    </row>
    <row r="15" spans="1:38" s="64" customFormat="1" ht="15.75" x14ac:dyDescent="0.25">
      <c r="A15" s="29">
        <v>45253</v>
      </c>
      <c r="B15" s="62">
        <v>1.2549999999999999</v>
      </c>
      <c r="C15" s="60">
        <v>3.2749999999999999</v>
      </c>
      <c r="D15" s="60">
        <v>2.355</v>
      </c>
      <c r="E15" s="60">
        <v>2.0099999999999998</v>
      </c>
      <c r="F15" s="60">
        <v>2.0099999999999998</v>
      </c>
      <c r="G15" s="60">
        <v>1.5249999999999999</v>
      </c>
      <c r="H15" s="60">
        <v>6.0350000000000001</v>
      </c>
      <c r="I15" s="60">
        <v>5.53</v>
      </c>
      <c r="J15" s="68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 spans="1:38" ht="15.75" x14ac:dyDescent="0.25">
      <c r="A16" s="30">
        <v>45254</v>
      </c>
      <c r="B16" s="38">
        <v>1.2649999999999999</v>
      </c>
      <c r="C16" s="36">
        <v>3.25</v>
      </c>
      <c r="D16" s="36">
        <v>2.36</v>
      </c>
      <c r="E16" s="36">
        <v>2.0350000000000001</v>
      </c>
      <c r="F16" s="36">
        <v>2.04</v>
      </c>
      <c r="G16" s="36">
        <v>1.53</v>
      </c>
      <c r="H16" s="36">
        <v>6.02</v>
      </c>
      <c r="I16" s="36">
        <v>5.51</v>
      </c>
      <c r="J16" s="57"/>
    </row>
    <row r="17" spans="1:38" s="64" customFormat="1" ht="15.75" x14ac:dyDescent="0.25">
      <c r="A17" s="29">
        <v>45257</v>
      </c>
      <c r="B17" s="62">
        <v>1.27</v>
      </c>
      <c r="C17" s="60">
        <v>3.2549999999999999</v>
      </c>
      <c r="D17" s="60">
        <v>2.37</v>
      </c>
      <c r="E17" s="60">
        <v>2.04</v>
      </c>
      <c r="F17" s="60">
        <v>2.0449999999999999</v>
      </c>
      <c r="G17" s="60">
        <v>1.5149999999999999</v>
      </c>
      <c r="H17" s="60">
        <v>6.0250000000000004</v>
      </c>
      <c r="I17" s="60">
        <v>5.5149999999999997</v>
      </c>
      <c r="J17" s="68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</row>
    <row r="18" spans="1:38" ht="15.75" x14ac:dyDescent="0.25">
      <c r="A18" s="30">
        <v>45258</v>
      </c>
      <c r="B18" s="38">
        <v>1.26</v>
      </c>
      <c r="C18" s="36">
        <v>3.27</v>
      </c>
      <c r="D18" s="36">
        <v>2.355</v>
      </c>
      <c r="E18" s="36">
        <v>2.02</v>
      </c>
      <c r="F18" s="36">
        <v>2.0099999999999998</v>
      </c>
      <c r="G18" s="36">
        <v>1.54</v>
      </c>
      <c r="H18" s="36">
        <v>6.04</v>
      </c>
      <c r="I18" s="36">
        <v>5.53</v>
      </c>
      <c r="J18" s="57"/>
    </row>
    <row r="19" spans="1:38" s="64" customFormat="1" ht="15.75" x14ac:dyDescent="0.25">
      <c r="A19" s="29">
        <v>45259</v>
      </c>
      <c r="B19" s="62">
        <v>1.2549999999999999</v>
      </c>
      <c r="C19" s="60">
        <v>3.26</v>
      </c>
      <c r="D19" s="60">
        <v>2.38</v>
      </c>
      <c r="E19" s="60">
        <v>0</v>
      </c>
      <c r="F19" s="60">
        <v>0</v>
      </c>
      <c r="G19" s="60">
        <v>0</v>
      </c>
      <c r="H19" s="60">
        <v>0</v>
      </c>
      <c r="I19" s="60">
        <v>0</v>
      </c>
      <c r="J19" s="68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</row>
    <row r="20" spans="1:38" ht="15.75" x14ac:dyDescent="0.25">
      <c r="A20" s="30">
        <v>45260</v>
      </c>
      <c r="B20" s="38">
        <v>1.25</v>
      </c>
      <c r="C20" s="36">
        <v>3.2549999999999999</v>
      </c>
      <c r="D20" s="36">
        <v>2.37</v>
      </c>
      <c r="E20" s="36">
        <v>0</v>
      </c>
      <c r="F20" s="36">
        <v>0</v>
      </c>
      <c r="G20" s="36">
        <v>0</v>
      </c>
      <c r="H20" s="36">
        <v>0</v>
      </c>
      <c r="I20" s="36">
        <v>0</v>
      </c>
      <c r="J20" s="57"/>
    </row>
    <row r="21" spans="1:38" s="64" customFormat="1" ht="15.75" x14ac:dyDescent="0.25">
      <c r="A21" s="29"/>
      <c r="B21" s="66"/>
      <c r="C21" s="67"/>
      <c r="D21" s="67"/>
      <c r="E21" s="67"/>
      <c r="F21" s="67"/>
      <c r="G21" s="67"/>
      <c r="H21" s="67"/>
      <c r="I21" s="67"/>
      <c r="J21" s="68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</row>
    <row r="22" spans="1:38" ht="15.75" x14ac:dyDescent="0.25">
      <c r="A22" s="30"/>
      <c r="B22" s="55"/>
      <c r="C22" s="56"/>
      <c r="D22" s="56"/>
      <c r="E22" s="56"/>
      <c r="F22" s="56"/>
      <c r="G22" s="56"/>
      <c r="H22" s="56"/>
      <c r="I22" s="56"/>
      <c r="J22" s="57"/>
    </row>
    <row r="23" spans="1:38" s="64" customFormat="1" ht="15.75" x14ac:dyDescent="0.25">
      <c r="A23" s="29"/>
      <c r="B23" s="66"/>
      <c r="C23" s="67"/>
      <c r="D23" s="67"/>
      <c r="E23" s="67"/>
      <c r="F23" s="67"/>
      <c r="G23" s="67"/>
      <c r="H23" s="67"/>
      <c r="I23" s="67"/>
      <c r="J23" s="68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</row>
    <row r="24" spans="1:38" ht="15.75" x14ac:dyDescent="0.25">
      <c r="A24" s="30"/>
      <c r="B24" s="55"/>
      <c r="C24" s="56"/>
      <c r="D24" s="56"/>
      <c r="E24" s="56"/>
      <c r="F24" s="56"/>
      <c r="G24" s="56"/>
      <c r="H24" s="56"/>
      <c r="I24" s="56"/>
      <c r="J24" s="57"/>
    </row>
    <row r="25" spans="1:38" s="64" customFormat="1" ht="16.5" thickBot="1" x14ac:dyDescent="0.3">
      <c r="A25" s="58"/>
      <c r="B25" s="69"/>
      <c r="C25" s="70"/>
      <c r="D25" s="70"/>
      <c r="E25" s="70"/>
      <c r="F25" s="70"/>
      <c r="G25" s="70"/>
      <c r="H25" s="70"/>
      <c r="I25" s="70"/>
      <c r="J25" s="71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</row>
    <row r="26" spans="1:38" ht="19.5" thickBot="1" x14ac:dyDescent="0.3">
      <c r="B26" s="5">
        <f>SUM(B2:B25)</f>
        <v>24.03</v>
      </c>
      <c r="C26" s="5">
        <f t="shared" ref="C26:J26" si="0">SUM(C2:C25)</f>
        <v>61.970000000000013</v>
      </c>
      <c r="D26" s="5">
        <f t="shared" si="0"/>
        <v>44.749999999999993</v>
      </c>
      <c r="E26" s="5">
        <f>SUM(E2:E25)</f>
        <v>34.450000000000003</v>
      </c>
      <c r="F26" s="5">
        <f t="shared" si="0"/>
        <v>34.454999999999998</v>
      </c>
      <c r="G26" s="5">
        <f t="shared" si="0"/>
        <v>25.88</v>
      </c>
      <c r="H26" s="5">
        <f>SUM(H2:H25)</f>
        <v>102.45</v>
      </c>
      <c r="I26" s="5">
        <f t="shared" si="0"/>
        <v>93.77500000000002</v>
      </c>
      <c r="J26" s="5">
        <f t="shared" si="0"/>
        <v>0</v>
      </c>
    </row>
    <row r="27" spans="1:38" ht="15.75" thickBot="1" x14ac:dyDescent="0.3">
      <c r="B27" s="2" t="s">
        <v>0</v>
      </c>
      <c r="C27" s="3" t="s">
        <v>1</v>
      </c>
      <c r="D27" s="2" t="s">
        <v>2</v>
      </c>
      <c r="E27" s="4" t="s">
        <v>3</v>
      </c>
      <c r="F27" s="2" t="s">
        <v>4</v>
      </c>
      <c r="G27" s="4" t="s">
        <v>5</v>
      </c>
      <c r="H27" s="2" t="s">
        <v>6</v>
      </c>
      <c r="I27" s="4" t="s">
        <v>7</v>
      </c>
      <c r="J27" s="2"/>
    </row>
    <row r="28" spans="1:38" ht="15.75" thickBot="1" x14ac:dyDescent="0.3"/>
    <row r="29" spans="1:38" ht="18.75" x14ac:dyDescent="0.3">
      <c r="B29" s="87" t="s">
        <v>8</v>
      </c>
      <c r="C29" s="88"/>
      <c r="D29" s="88"/>
      <c r="E29" s="87" t="s">
        <v>9</v>
      </c>
      <c r="F29" s="89"/>
      <c r="G29" s="88" t="s">
        <v>10</v>
      </c>
      <c r="H29" s="88"/>
      <c r="I29" s="89"/>
      <c r="J29" s="16"/>
    </row>
    <row r="30" spans="1:38" x14ac:dyDescent="0.25">
      <c r="B30" s="90">
        <f>B26+C26+D26+27.47</f>
        <v>158.22</v>
      </c>
      <c r="C30" s="91"/>
      <c r="D30" s="91"/>
      <c r="E30" s="90">
        <f>E26+F26+27.46</f>
        <v>96.365000000000009</v>
      </c>
      <c r="F30" s="94"/>
      <c r="G30" s="96">
        <f>G26+H26+I26+27.47</f>
        <v>249.57500000000002</v>
      </c>
      <c r="H30" s="91"/>
      <c r="I30" s="94"/>
      <c r="J30" s="106">
        <f>B30+E30+G30</f>
        <v>504.16</v>
      </c>
    </row>
    <row r="31" spans="1:38" ht="15.75" thickBot="1" x14ac:dyDescent="0.3">
      <c r="B31" s="92"/>
      <c r="C31" s="93"/>
      <c r="D31" s="93"/>
      <c r="E31" s="92"/>
      <c r="F31" s="95"/>
      <c r="G31" s="93"/>
      <c r="H31" s="93"/>
      <c r="I31" s="95"/>
      <c r="J31" s="107"/>
    </row>
    <row r="35" spans="4:8" ht="15.75" x14ac:dyDescent="0.25">
      <c r="G35" s="46"/>
    </row>
    <row r="36" spans="4:8" x14ac:dyDescent="0.25">
      <c r="H36" s="45"/>
    </row>
    <row r="38" spans="4:8" x14ac:dyDescent="0.25">
      <c r="D38" s="45"/>
    </row>
  </sheetData>
  <mergeCells count="8">
    <mergeCell ref="B1:J1"/>
    <mergeCell ref="B29:D29"/>
    <mergeCell ref="E29:F29"/>
    <mergeCell ref="G29:I29"/>
    <mergeCell ref="B30:D31"/>
    <mergeCell ref="E30:F31"/>
    <mergeCell ref="G30:I31"/>
    <mergeCell ref="J30:J31"/>
  </mergeCells>
  <pageMargins left="0.51181102362204722" right="0.51181102362204722" top="0.39" bottom="0.47" header="0.31496062992125984" footer="0.31496062992125984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38"/>
  <sheetViews>
    <sheetView workbookViewId="0">
      <selection sqref="A1:XFD1048576"/>
    </sheetView>
  </sheetViews>
  <sheetFormatPr defaultColWidth="10.7109375" defaultRowHeight="15" x14ac:dyDescent="0.25"/>
  <cols>
    <col min="1" max="1" width="15.140625" customWidth="1"/>
    <col min="2" max="2" width="12" bestFit="1" customWidth="1"/>
  </cols>
  <sheetData>
    <row r="1" spans="1:38" ht="33" customHeight="1" thickBot="1" x14ac:dyDescent="0.3">
      <c r="A1" s="44" t="s">
        <v>14</v>
      </c>
      <c r="B1" s="84" t="s">
        <v>24</v>
      </c>
      <c r="C1" s="85"/>
      <c r="D1" s="85"/>
      <c r="E1" s="85"/>
      <c r="F1" s="85"/>
      <c r="G1" s="85"/>
      <c r="H1" s="85"/>
      <c r="I1" s="85"/>
      <c r="J1" s="86"/>
    </row>
    <row r="2" spans="1:38" ht="15.75" x14ac:dyDescent="0.25">
      <c r="A2" s="30">
        <v>45170</v>
      </c>
      <c r="B2" s="31">
        <v>1.27</v>
      </c>
      <c r="C2" s="32">
        <v>3.25</v>
      </c>
      <c r="D2" s="32">
        <v>2.36</v>
      </c>
      <c r="E2" s="32">
        <v>2.0049999999999999</v>
      </c>
      <c r="F2" s="32">
        <v>2.41</v>
      </c>
      <c r="G2" s="32">
        <v>1.5449999999999999</v>
      </c>
      <c r="H2" s="32">
        <v>6.02</v>
      </c>
      <c r="I2" s="32">
        <v>5.5049999999999999</v>
      </c>
      <c r="J2" s="33"/>
    </row>
    <row r="3" spans="1:38" ht="15.75" x14ac:dyDescent="0.25">
      <c r="A3" s="29">
        <v>45173</v>
      </c>
      <c r="B3" s="24">
        <v>1.25</v>
      </c>
      <c r="C3" s="25">
        <v>3.2650000000000001</v>
      </c>
      <c r="D3" s="25">
        <v>2.3450000000000002</v>
      </c>
      <c r="E3" s="25">
        <v>2.02</v>
      </c>
      <c r="F3" s="25">
        <v>2.42</v>
      </c>
      <c r="G3" s="25">
        <v>1.54</v>
      </c>
      <c r="H3" s="25">
        <v>6.0049999999999999</v>
      </c>
      <c r="I3" s="25">
        <v>5.0514999999999999</v>
      </c>
      <c r="J3" s="26"/>
    </row>
    <row r="4" spans="1:38" ht="15.75" x14ac:dyDescent="0.25">
      <c r="A4" s="30">
        <v>45174</v>
      </c>
      <c r="B4" s="35">
        <v>1.2549999999999999</v>
      </c>
      <c r="C4" s="36">
        <v>3.2549999999999999</v>
      </c>
      <c r="D4" s="36">
        <v>2.35</v>
      </c>
      <c r="E4" s="36">
        <v>2.0099999999999998</v>
      </c>
      <c r="F4" s="36">
        <v>2.4049999999999998</v>
      </c>
      <c r="G4" s="36">
        <v>1.0049999999999999</v>
      </c>
      <c r="H4" s="36">
        <v>6.03</v>
      </c>
      <c r="I4" s="36">
        <f>5.5+2</f>
        <v>7.5</v>
      </c>
      <c r="J4" s="37"/>
    </row>
    <row r="5" spans="1:38" ht="15.75" x14ac:dyDescent="0.25">
      <c r="A5" s="29">
        <v>45175</v>
      </c>
      <c r="B5" s="59">
        <v>1.27</v>
      </c>
      <c r="C5" s="60">
        <v>3.27</v>
      </c>
      <c r="D5" s="60">
        <v>2.3650000000000002</v>
      </c>
      <c r="E5" s="60">
        <v>2.0099999999999998</v>
      </c>
      <c r="F5" s="60">
        <v>2.4249999999999998</v>
      </c>
      <c r="G5" s="60">
        <v>1.0149999999999999</v>
      </c>
      <c r="H5" s="60">
        <v>6</v>
      </c>
      <c r="I5" s="60">
        <v>5.5049999999999999</v>
      </c>
      <c r="J5" s="61"/>
    </row>
    <row r="6" spans="1:38" ht="15.75" x14ac:dyDescent="0.25">
      <c r="A6" s="30">
        <v>45176</v>
      </c>
      <c r="B6" s="38">
        <v>1.25</v>
      </c>
      <c r="C6" s="36">
        <v>3.25</v>
      </c>
      <c r="D6" s="36">
        <v>2.355</v>
      </c>
      <c r="E6" s="36">
        <v>2.0049999999999999</v>
      </c>
      <c r="F6" s="36">
        <v>2.41</v>
      </c>
      <c r="G6" s="36">
        <v>1.02</v>
      </c>
      <c r="H6" s="36">
        <v>6.01</v>
      </c>
      <c r="I6" s="36">
        <v>5.5</v>
      </c>
      <c r="J6" s="39"/>
    </row>
    <row r="7" spans="1:38" ht="15.75" x14ac:dyDescent="0.25">
      <c r="A7" s="29">
        <v>45177</v>
      </c>
      <c r="B7" s="62">
        <v>1.27</v>
      </c>
      <c r="C7" s="60">
        <v>3.2650000000000001</v>
      </c>
      <c r="D7" s="60">
        <v>2.36</v>
      </c>
      <c r="E7" s="60">
        <v>2.0249999999999999</v>
      </c>
      <c r="F7" s="60">
        <v>2.415</v>
      </c>
      <c r="G7" s="60">
        <v>1.01</v>
      </c>
      <c r="H7" s="60">
        <v>6.0149999999999997</v>
      </c>
      <c r="I7" s="60">
        <v>5.51</v>
      </c>
      <c r="J7" s="63"/>
    </row>
    <row r="8" spans="1:38" ht="15.75" x14ac:dyDescent="0.25">
      <c r="A8" s="30">
        <v>45180</v>
      </c>
      <c r="B8" s="38">
        <v>1.2649999999999999</v>
      </c>
      <c r="C8" s="36">
        <v>3.26</v>
      </c>
      <c r="D8" s="36">
        <v>2.34</v>
      </c>
      <c r="E8" s="36">
        <v>2</v>
      </c>
      <c r="F8" s="36">
        <v>2.4049999999999998</v>
      </c>
      <c r="G8" s="36">
        <v>1.0049999999999999</v>
      </c>
      <c r="H8" s="36">
        <v>6.0049999999999999</v>
      </c>
      <c r="I8" s="36">
        <v>5.5149999999999997</v>
      </c>
      <c r="J8" s="39"/>
    </row>
    <row r="9" spans="1:38" ht="15.75" x14ac:dyDescent="0.25">
      <c r="A9" s="29">
        <v>45181</v>
      </c>
      <c r="B9" s="62">
        <v>1.2549999999999999</v>
      </c>
      <c r="C9" s="60">
        <v>3.2450000000000001</v>
      </c>
      <c r="D9" s="60">
        <v>2.355</v>
      </c>
      <c r="E9" s="60">
        <v>2.0099999999999998</v>
      </c>
      <c r="F9" s="60">
        <v>2.4</v>
      </c>
      <c r="G9" s="60">
        <v>1.0149999999999999</v>
      </c>
      <c r="H9" s="60">
        <f>6.02+25</f>
        <v>31.02</v>
      </c>
      <c r="I9" s="60">
        <v>5.51</v>
      </c>
      <c r="J9" s="63"/>
    </row>
    <row r="10" spans="1:38" ht="15.75" x14ac:dyDescent="0.25">
      <c r="A10" s="30">
        <v>45182</v>
      </c>
      <c r="B10" s="38">
        <v>1.25</v>
      </c>
      <c r="C10" s="36">
        <v>3.2549999999999999</v>
      </c>
      <c r="D10" s="36">
        <v>2.3450000000000002</v>
      </c>
      <c r="E10" s="36">
        <v>2.0049999999999999</v>
      </c>
      <c r="F10" s="36">
        <v>2.42</v>
      </c>
      <c r="G10" s="36">
        <v>1.01</v>
      </c>
      <c r="H10" s="36">
        <v>6.0250000000000004</v>
      </c>
      <c r="I10" s="36">
        <v>5.5</v>
      </c>
      <c r="J10" s="39"/>
    </row>
    <row r="11" spans="1:38" s="64" customFormat="1" ht="15.75" x14ac:dyDescent="0.25">
      <c r="A11" s="29">
        <v>45183</v>
      </c>
      <c r="B11" s="62">
        <v>1.24</v>
      </c>
      <c r="C11" s="60">
        <v>3.25</v>
      </c>
      <c r="D11" s="60">
        <v>2.36</v>
      </c>
      <c r="E11" s="60"/>
      <c r="F11" s="60"/>
      <c r="G11" s="60"/>
      <c r="H11" s="60"/>
      <c r="I11" s="60"/>
      <c r="J11" s="63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</row>
    <row r="12" spans="1:38" ht="15.75" x14ac:dyDescent="0.25">
      <c r="A12" s="30">
        <v>45184</v>
      </c>
      <c r="B12" s="38">
        <v>1.2450000000000001</v>
      </c>
      <c r="C12" s="36">
        <v>3.27</v>
      </c>
      <c r="D12" s="36">
        <v>2.355</v>
      </c>
      <c r="E12" s="36"/>
      <c r="F12" s="36"/>
      <c r="G12" s="36"/>
      <c r="H12" s="36"/>
      <c r="I12" s="36"/>
      <c r="J12" s="39"/>
    </row>
    <row r="13" spans="1:38" s="64" customFormat="1" ht="15.75" x14ac:dyDescent="0.25">
      <c r="A13" s="29">
        <v>45187</v>
      </c>
      <c r="B13" s="62"/>
      <c r="C13" s="60"/>
      <c r="D13" s="60"/>
      <c r="E13" s="60"/>
      <c r="F13" s="60"/>
      <c r="G13" s="60"/>
      <c r="H13" s="60"/>
      <c r="I13" s="60"/>
      <c r="J13" s="6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</row>
    <row r="14" spans="1:38" ht="15.75" x14ac:dyDescent="0.25">
      <c r="A14" s="30"/>
      <c r="B14" s="55"/>
      <c r="C14" s="56"/>
      <c r="D14" s="56"/>
      <c r="E14" s="56"/>
      <c r="F14" s="56"/>
      <c r="G14" s="56"/>
      <c r="H14" s="56"/>
      <c r="I14" s="56"/>
      <c r="J14" s="57"/>
    </row>
    <row r="15" spans="1:38" s="64" customFormat="1" ht="15.75" x14ac:dyDescent="0.25">
      <c r="A15" s="29"/>
      <c r="B15" s="66"/>
      <c r="C15" s="67"/>
      <c r="D15" s="67"/>
      <c r="E15" s="67"/>
      <c r="F15" s="67"/>
      <c r="G15" s="67"/>
      <c r="H15" s="67"/>
      <c r="I15" s="67"/>
      <c r="J15" s="68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 spans="1:38" ht="15.75" x14ac:dyDescent="0.25">
      <c r="A16" s="30"/>
      <c r="B16" s="55"/>
      <c r="C16" s="56"/>
      <c r="D16" s="56"/>
      <c r="E16" s="56"/>
      <c r="F16" s="56"/>
      <c r="G16" s="56"/>
      <c r="H16" s="56"/>
      <c r="I16" s="56"/>
      <c r="J16" s="57"/>
    </row>
    <row r="17" spans="1:38" s="64" customFormat="1" ht="15.75" x14ac:dyDescent="0.25">
      <c r="A17" s="29"/>
      <c r="B17" s="66"/>
      <c r="C17" s="67"/>
      <c r="D17" s="67"/>
      <c r="E17" s="67"/>
      <c r="F17" s="67"/>
      <c r="G17" s="67"/>
      <c r="H17" s="67"/>
      <c r="I17" s="67"/>
      <c r="J17" s="68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</row>
    <row r="18" spans="1:38" ht="15.75" x14ac:dyDescent="0.25">
      <c r="A18" s="30"/>
      <c r="B18" s="55"/>
      <c r="C18" s="56"/>
      <c r="D18" s="56"/>
      <c r="E18" s="56"/>
      <c r="F18" s="56"/>
      <c r="G18" s="56"/>
      <c r="H18" s="56"/>
      <c r="I18" s="56"/>
      <c r="J18" s="57"/>
    </row>
    <row r="19" spans="1:38" s="64" customFormat="1" ht="15.75" x14ac:dyDescent="0.25">
      <c r="A19" s="29"/>
      <c r="B19" s="66"/>
      <c r="C19" s="67"/>
      <c r="D19" s="67"/>
      <c r="E19" s="67"/>
      <c r="F19" s="67"/>
      <c r="G19" s="67"/>
      <c r="H19" s="67"/>
      <c r="I19" s="67"/>
      <c r="J19" s="68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</row>
    <row r="20" spans="1:38" ht="15.75" x14ac:dyDescent="0.25">
      <c r="A20" s="30"/>
      <c r="B20" s="55"/>
      <c r="C20" s="56"/>
      <c r="D20" s="56"/>
      <c r="E20" s="56"/>
      <c r="F20" s="56"/>
      <c r="G20" s="56"/>
      <c r="H20" s="56"/>
      <c r="I20" s="56"/>
      <c r="J20" s="57"/>
    </row>
    <row r="21" spans="1:38" s="64" customFormat="1" ht="15.75" x14ac:dyDescent="0.25">
      <c r="A21" s="29"/>
      <c r="B21" s="66"/>
      <c r="C21" s="67"/>
      <c r="D21" s="67"/>
      <c r="E21" s="67"/>
      <c r="F21" s="67"/>
      <c r="G21" s="67"/>
      <c r="H21" s="67"/>
      <c r="I21" s="67"/>
      <c r="J21" s="68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</row>
    <row r="22" spans="1:38" ht="15.75" x14ac:dyDescent="0.25">
      <c r="A22" s="30"/>
      <c r="B22" s="55"/>
      <c r="C22" s="56"/>
      <c r="D22" s="56"/>
      <c r="E22" s="56"/>
      <c r="F22" s="56"/>
      <c r="G22" s="56"/>
      <c r="H22" s="56"/>
      <c r="I22" s="56"/>
      <c r="J22" s="57"/>
    </row>
    <row r="23" spans="1:38" s="64" customFormat="1" ht="15.75" x14ac:dyDescent="0.25">
      <c r="A23" s="29"/>
      <c r="B23" s="66"/>
      <c r="C23" s="67"/>
      <c r="D23" s="67"/>
      <c r="E23" s="67"/>
      <c r="F23" s="67"/>
      <c r="G23" s="67"/>
      <c r="H23" s="67"/>
      <c r="I23" s="67"/>
      <c r="J23" s="68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</row>
    <row r="24" spans="1:38" ht="15.75" x14ac:dyDescent="0.25">
      <c r="A24" s="30"/>
      <c r="B24" s="55"/>
      <c r="C24" s="56"/>
      <c r="D24" s="56"/>
      <c r="E24" s="56"/>
      <c r="F24" s="56"/>
      <c r="G24" s="56"/>
      <c r="H24" s="56"/>
      <c r="I24" s="56"/>
      <c r="J24" s="57"/>
    </row>
    <row r="25" spans="1:38" s="64" customFormat="1" ht="16.5" thickBot="1" x14ac:dyDescent="0.3">
      <c r="A25" s="58"/>
      <c r="B25" s="69"/>
      <c r="C25" s="70"/>
      <c r="D25" s="70"/>
      <c r="E25" s="70"/>
      <c r="F25" s="70"/>
      <c r="G25" s="70"/>
      <c r="H25" s="70"/>
      <c r="I25" s="70"/>
      <c r="J25" s="71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</row>
    <row r="26" spans="1:38" ht="19.5" thickBot="1" x14ac:dyDescent="0.3">
      <c r="B26" s="5">
        <f>SUM(B2:B25)</f>
        <v>13.82</v>
      </c>
      <c r="C26" s="5">
        <f t="shared" ref="C26:J26" si="0">SUM(C2:C25)</f>
        <v>35.835000000000001</v>
      </c>
      <c r="D26" s="5">
        <f t="shared" si="0"/>
        <v>25.89</v>
      </c>
      <c r="E26" s="5">
        <f>SUM(E2:E25)</f>
        <v>18.09</v>
      </c>
      <c r="F26" s="5">
        <f t="shared" si="0"/>
        <v>21.71</v>
      </c>
      <c r="G26" s="5">
        <f t="shared" si="0"/>
        <v>10.165000000000001</v>
      </c>
      <c r="H26" s="5">
        <f>SUM(H2:H25)</f>
        <v>79.13000000000001</v>
      </c>
      <c r="I26" s="5">
        <f t="shared" si="0"/>
        <v>51.096499999999999</v>
      </c>
      <c r="J26" s="5">
        <f t="shared" si="0"/>
        <v>0</v>
      </c>
    </row>
    <row r="27" spans="1:38" ht="15.75" thickBot="1" x14ac:dyDescent="0.3">
      <c r="B27" s="2" t="s">
        <v>0</v>
      </c>
      <c r="C27" s="3" t="s">
        <v>1</v>
      </c>
      <c r="D27" s="2" t="s">
        <v>2</v>
      </c>
      <c r="E27" s="4" t="s">
        <v>3</v>
      </c>
      <c r="F27" s="2" t="s">
        <v>4</v>
      </c>
      <c r="G27" s="4" t="s">
        <v>5</v>
      </c>
      <c r="H27" s="2" t="s">
        <v>6</v>
      </c>
      <c r="I27" s="4" t="s">
        <v>7</v>
      </c>
      <c r="J27" s="2"/>
    </row>
    <row r="28" spans="1:38" ht="15.75" thickBot="1" x14ac:dyDescent="0.3"/>
    <row r="29" spans="1:38" ht="18.75" x14ac:dyDescent="0.3">
      <c r="B29" s="87" t="s">
        <v>8</v>
      </c>
      <c r="C29" s="88"/>
      <c r="D29" s="88"/>
      <c r="E29" s="87" t="s">
        <v>9</v>
      </c>
      <c r="F29" s="89"/>
      <c r="G29" s="88" t="s">
        <v>10</v>
      </c>
      <c r="H29" s="88"/>
      <c r="I29" s="89"/>
      <c r="J29" s="16"/>
    </row>
    <row r="30" spans="1:38" x14ac:dyDescent="0.25">
      <c r="B30" s="90">
        <f>B26+C26+D26+6.8</f>
        <v>82.344999999999999</v>
      </c>
      <c r="C30" s="91"/>
      <c r="D30" s="91"/>
      <c r="E30" s="90">
        <f>E26+F26+25-6.8</f>
        <v>58</v>
      </c>
      <c r="F30" s="94"/>
      <c r="G30" s="96">
        <f>G26+H26+I26</f>
        <v>140.39150000000001</v>
      </c>
      <c r="H30" s="91"/>
      <c r="I30" s="94"/>
      <c r="J30" s="97">
        <f>B30+E30+G30</f>
        <v>280.73649999999998</v>
      </c>
    </row>
    <row r="31" spans="1:38" ht="15.75" thickBot="1" x14ac:dyDescent="0.3">
      <c r="B31" s="92"/>
      <c r="C31" s="93"/>
      <c r="D31" s="93"/>
      <c r="E31" s="92"/>
      <c r="F31" s="95"/>
      <c r="G31" s="93"/>
      <c r="H31" s="93"/>
      <c r="I31" s="95"/>
      <c r="J31" s="98"/>
    </row>
    <row r="35" spans="4:8" ht="15.75" x14ac:dyDescent="0.25">
      <c r="G35" s="46"/>
    </row>
    <row r="36" spans="4:8" x14ac:dyDescent="0.25">
      <c r="H36" s="45"/>
    </row>
    <row r="38" spans="4:8" x14ac:dyDescent="0.25">
      <c r="D38" s="45"/>
    </row>
  </sheetData>
  <mergeCells count="8">
    <mergeCell ref="B1:J1"/>
    <mergeCell ref="B29:D29"/>
    <mergeCell ref="E29:F29"/>
    <mergeCell ref="G29:I29"/>
    <mergeCell ref="B30:D31"/>
    <mergeCell ref="E30:F31"/>
    <mergeCell ref="G30:I31"/>
    <mergeCell ref="J30:J3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M40"/>
  <sheetViews>
    <sheetView topLeftCell="A14" zoomScale="90" zoomScaleNormal="90" workbookViewId="0">
      <selection activeCell="I20" sqref="I20"/>
    </sheetView>
  </sheetViews>
  <sheetFormatPr defaultColWidth="10.7109375" defaultRowHeight="15" x14ac:dyDescent="0.25"/>
  <cols>
    <col min="1" max="1" width="15.140625" customWidth="1"/>
    <col min="2" max="2" width="12" bestFit="1" customWidth="1"/>
  </cols>
  <sheetData>
    <row r="1" spans="1:39" ht="33" customHeight="1" thickBot="1" x14ac:dyDescent="0.3">
      <c r="A1" s="44" t="s">
        <v>14</v>
      </c>
      <c r="B1" s="84" t="s">
        <v>26</v>
      </c>
      <c r="C1" s="85"/>
      <c r="D1" s="85"/>
      <c r="E1" s="85"/>
      <c r="F1" s="85"/>
      <c r="G1" s="85"/>
      <c r="H1" s="85"/>
      <c r="I1" s="85"/>
      <c r="J1" s="85"/>
      <c r="K1" s="86"/>
    </row>
    <row r="2" spans="1:39" ht="15.75" x14ac:dyDescent="0.25">
      <c r="A2" s="78">
        <v>45323</v>
      </c>
      <c r="B2" s="31">
        <v>0.9</v>
      </c>
      <c r="C2" s="32">
        <v>3.0049999999999999</v>
      </c>
      <c r="D2" s="32" t="s">
        <v>27</v>
      </c>
      <c r="E2" s="32"/>
      <c r="F2" s="32">
        <v>1</v>
      </c>
      <c r="G2" s="32">
        <v>0.5</v>
      </c>
      <c r="H2" s="32">
        <v>7.508</v>
      </c>
      <c r="I2" s="32" t="s">
        <v>27</v>
      </c>
      <c r="J2" s="32"/>
      <c r="K2" s="33"/>
    </row>
    <row r="3" spans="1:39" ht="15.75" x14ac:dyDescent="0.25">
      <c r="A3" s="29">
        <v>45324</v>
      </c>
      <c r="B3" s="76">
        <v>0.5</v>
      </c>
      <c r="C3" s="25">
        <v>1.5</v>
      </c>
      <c r="D3" s="25">
        <v>1</v>
      </c>
      <c r="E3" s="25">
        <v>1</v>
      </c>
      <c r="F3" s="25" t="s">
        <v>27</v>
      </c>
      <c r="G3" s="25" t="s">
        <v>27</v>
      </c>
      <c r="H3" s="25" t="s">
        <v>27</v>
      </c>
      <c r="I3" s="25" t="s">
        <v>27</v>
      </c>
      <c r="J3" s="25"/>
      <c r="K3" s="26"/>
    </row>
    <row r="4" spans="1:39" ht="15.75" x14ac:dyDescent="0.25">
      <c r="A4" s="30">
        <v>45327</v>
      </c>
      <c r="B4" s="77">
        <v>1.5049999999999999</v>
      </c>
      <c r="C4" s="36">
        <v>3.0049999999999999</v>
      </c>
      <c r="D4" s="36">
        <v>2.5049999999999999</v>
      </c>
      <c r="E4" s="36"/>
      <c r="F4" s="36">
        <v>2.5099999999999998</v>
      </c>
      <c r="G4" s="36">
        <v>2.5099999999999998</v>
      </c>
      <c r="H4" s="36">
        <v>2.5</v>
      </c>
      <c r="I4" s="36">
        <v>6.0049999999999999</v>
      </c>
      <c r="J4" s="36"/>
      <c r="K4" s="37"/>
    </row>
    <row r="5" spans="1:39" ht="15.75" x14ac:dyDescent="0.25">
      <c r="A5" s="29">
        <v>45328</v>
      </c>
      <c r="B5" s="76">
        <v>1.51</v>
      </c>
      <c r="C5" s="25">
        <v>3.0150000000000001</v>
      </c>
      <c r="D5" s="25">
        <v>2.52</v>
      </c>
      <c r="E5" s="25"/>
      <c r="F5" s="25">
        <v>2.5150000000000001</v>
      </c>
      <c r="G5" s="25">
        <v>2.5150000000000001</v>
      </c>
      <c r="H5" s="25">
        <v>2.5049999999999999</v>
      </c>
      <c r="I5" s="25">
        <v>6</v>
      </c>
      <c r="J5" s="25"/>
      <c r="K5" s="26"/>
    </row>
    <row r="6" spans="1:39" ht="15.75" x14ac:dyDescent="0.25">
      <c r="A6" s="30">
        <v>45329</v>
      </c>
      <c r="B6" s="35">
        <v>1.5</v>
      </c>
      <c r="C6" s="36">
        <v>3.01</v>
      </c>
      <c r="D6" s="36">
        <v>2.5150000000000001</v>
      </c>
      <c r="E6" s="36"/>
      <c r="F6" s="36">
        <v>2.5</v>
      </c>
      <c r="G6" s="36">
        <v>2.5</v>
      </c>
      <c r="H6" s="36">
        <v>2.5150000000000001</v>
      </c>
      <c r="I6" s="36">
        <v>6.01</v>
      </c>
      <c r="J6" s="36"/>
      <c r="K6" s="37"/>
    </row>
    <row r="7" spans="1:39" ht="15.75" x14ac:dyDescent="0.25">
      <c r="A7" s="29">
        <v>45330</v>
      </c>
      <c r="B7" s="59">
        <v>1.5049999999999999</v>
      </c>
      <c r="C7" s="60">
        <v>3.0150000000000001</v>
      </c>
      <c r="D7" s="60">
        <v>2.5049999999999999</v>
      </c>
      <c r="E7" s="60"/>
      <c r="F7" s="60">
        <v>2.5</v>
      </c>
      <c r="G7" s="60">
        <v>2.5</v>
      </c>
      <c r="H7" s="60">
        <v>2.5049999999999999</v>
      </c>
      <c r="I7" s="60">
        <v>6.0149999999999997</v>
      </c>
      <c r="J7" s="60"/>
      <c r="K7" s="61"/>
    </row>
    <row r="8" spans="1:39" ht="15.75" x14ac:dyDescent="0.25">
      <c r="A8" s="30">
        <v>45331</v>
      </c>
      <c r="B8" s="38">
        <v>1.5149999999999999</v>
      </c>
      <c r="C8" s="36">
        <v>3.0049999999999999</v>
      </c>
      <c r="D8" s="36">
        <v>2.5099999999999998</v>
      </c>
      <c r="E8" s="36"/>
      <c r="F8" s="36">
        <v>2.5049999999999999</v>
      </c>
      <c r="G8" s="36">
        <v>2.5049999999999999</v>
      </c>
      <c r="H8" s="36">
        <v>2.5099999999999998</v>
      </c>
      <c r="I8" s="36">
        <v>6.0049999999999999</v>
      </c>
      <c r="J8" s="36"/>
      <c r="K8" s="39"/>
    </row>
    <row r="9" spans="1:39" ht="15.75" x14ac:dyDescent="0.25">
      <c r="A9" s="29">
        <v>45337</v>
      </c>
      <c r="B9" s="62">
        <v>1.5049999999999999</v>
      </c>
      <c r="C9" s="60">
        <v>3.0049999999999999</v>
      </c>
      <c r="D9" s="60">
        <v>2.5</v>
      </c>
      <c r="E9" s="60"/>
      <c r="F9" s="60">
        <v>2.5150000000000001</v>
      </c>
      <c r="G9" s="60">
        <v>2.5150000000000001</v>
      </c>
      <c r="H9" s="60">
        <v>2.5049999999999999</v>
      </c>
      <c r="I9" s="60">
        <v>6.01</v>
      </c>
      <c r="J9" s="60"/>
      <c r="K9" s="63"/>
    </row>
    <row r="10" spans="1:39" ht="15.75" x14ac:dyDescent="0.25">
      <c r="A10" s="30">
        <v>45338</v>
      </c>
      <c r="B10" s="38">
        <v>1.51</v>
      </c>
      <c r="C10" s="36">
        <v>3.01</v>
      </c>
      <c r="D10" s="36">
        <v>2.5049999999999999</v>
      </c>
      <c r="E10" s="36"/>
      <c r="F10" s="36">
        <v>2.5099999999999998</v>
      </c>
      <c r="G10" s="36">
        <v>2.5099999999999998</v>
      </c>
      <c r="H10" s="36">
        <v>2.5150000000000001</v>
      </c>
      <c r="I10" s="36">
        <v>6.02</v>
      </c>
      <c r="J10" s="36"/>
      <c r="K10" s="39"/>
    </row>
    <row r="11" spans="1:39" ht="15.75" x14ac:dyDescent="0.25">
      <c r="A11" s="29">
        <v>45341</v>
      </c>
      <c r="B11" s="62">
        <v>1.5</v>
      </c>
      <c r="C11" s="60">
        <v>3</v>
      </c>
      <c r="D11" s="60">
        <v>2.5099999999999998</v>
      </c>
      <c r="E11" s="60"/>
      <c r="F11" s="60">
        <v>2.5</v>
      </c>
      <c r="G11" s="60">
        <v>2.5</v>
      </c>
      <c r="H11" s="60">
        <v>2.5049999999999999</v>
      </c>
      <c r="I11" s="60">
        <v>6.0049999999999999</v>
      </c>
      <c r="J11" s="60"/>
      <c r="K11" s="63"/>
    </row>
    <row r="12" spans="1:39" ht="15.75" x14ac:dyDescent="0.25">
      <c r="A12" s="30">
        <v>45342</v>
      </c>
      <c r="B12" s="38">
        <v>1.5149999999999999</v>
      </c>
      <c r="C12" s="36">
        <v>3.01</v>
      </c>
      <c r="D12" s="36">
        <v>2.5249999999999999</v>
      </c>
      <c r="E12" s="36"/>
      <c r="F12" s="36">
        <v>2.5099999999999998</v>
      </c>
      <c r="G12" s="36">
        <v>2.5099999999999998</v>
      </c>
      <c r="H12" s="36">
        <v>2.5099999999999998</v>
      </c>
      <c r="I12" s="36">
        <v>6.01</v>
      </c>
      <c r="J12" s="36"/>
      <c r="K12" s="39"/>
    </row>
    <row r="13" spans="1:39" s="64" customFormat="1" ht="15.75" x14ac:dyDescent="0.25">
      <c r="A13" s="29">
        <v>45343</v>
      </c>
      <c r="B13" s="62">
        <v>1.5049999999999999</v>
      </c>
      <c r="C13" s="60">
        <v>3.0150000000000001</v>
      </c>
      <c r="D13" s="60">
        <v>2.5049999999999999</v>
      </c>
      <c r="E13" s="60"/>
      <c r="F13" s="60">
        <v>2.52</v>
      </c>
      <c r="G13" s="60">
        <v>2.52</v>
      </c>
      <c r="H13" s="60">
        <v>2.5099999999999998</v>
      </c>
      <c r="I13" s="60">
        <v>6.0049999999999999</v>
      </c>
      <c r="J13" s="60"/>
      <c r="K13" s="6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ht="15.75" x14ac:dyDescent="0.25">
      <c r="A14" s="30">
        <v>45344</v>
      </c>
      <c r="B14" s="38">
        <v>1.51</v>
      </c>
      <c r="C14" s="36">
        <v>3.0049999999999999</v>
      </c>
      <c r="D14" s="36">
        <v>2.5099999999999998</v>
      </c>
      <c r="E14" s="36"/>
      <c r="F14" s="36">
        <v>2.5150000000000001</v>
      </c>
      <c r="G14" s="36">
        <v>2.5150000000000001</v>
      </c>
      <c r="H14" s="36">
        <v>2.5049999999999999</v>
      </c>
      <c r="I14" s="36">
        <v>6.01</v>
      </c>
      <c r="J14" s="36"/>
      <c r="K14" s="39"/>
    </row>
    <row r="15" spans="1:39" s="64" customFormat="1" ht="15.75" x14ac:dyDescent="0.25">
      <c r="A15" s="29">
        <v>45345</v>
      </c>
      <c r="B15" s="62">
        <v>1.5</v>
      </c>
      <c r="C15" s="60">
        <v>3</v>
      </c>
      <c r="D15" s="60">
        <v>2.5049999999999999</v>
      </c>
      <c r="E15" s="60">
        <v>1.75</v>
      </c>
      <c r="F15" s="60">
        <v>2.5</v>
      </c>
      <c r="G15" s="60">
        <v>2.5</v>
      </c>
      <c r="H15" s="60">
        <v>2.5150000000000001</v>
      </c>
      <c r="I15" s="60">
        <v>6</v>
      </c>
      <c r="J15" s="60"/>
      <c r="K15" s="63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ht="15.75" x14ac:dyDescent="0.25">
      <c r="A16" s="30">
        <v>45348</v>
      </c>
      <c r="B16" s="55">
        <v>1.51</v>
      </c>
      <c r="C16" s="56">
        <v>3.01</v>
      </c>
      <c r="D16" s="56">
        <v>2.5249999999999999</v>
      </c>
      <c r="E16" s="56">
        <v>1.75</v>
      </c>
      <c r="F16" s="56">
        <v>2.5099999999999998</v>
      </c>
      <c r="G16" s="56">
        <v>2.5099999999999998</v>
      </c>
      <c r="H16" s="56">
        <v>2.5049999999999999</v>
      </c>
      <c r="I16" s="56">
        <v>6.01</v>
      </c>
      <c r="J16" s="56"/>
      <c r="K16" s="57"/>
    </row>
    <row r="17" spans="1:39" s="64" customFormat="1" ht="15.75" x14ac:dyDescent="0.25">
      <c r="A17" s="29">
        <v>45349</v>
      </c>
      <c r="B17" s="66">
        <v>1.5049999999999999</v>
      </c>
      <c r="C17" s="67">
        <v>3.01</v>
      </c>
      <c r="D17" s="67">
        <v>2.5150000000000001</v>
      </c>
      <c r="E17" s="67">
        <v>1.75</v>
      </c>
      <c r="F17" s="67">
        <v>2.5</v>
      </c>
      <c r="G17" s="67">
        <v>2.5</v>
      </c>
      <c r="H17" s="67">
        <v>2.5150000000000001</v>
      </c>
      <c r="I17" s="67">
        <v>6.0049999999999999</v>
      </c>
      <c r="J17" s="67"/>
      <c r="K17" s="68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ht="15.75" x14ac:dyDescent="0.25">
      <c r="A18" s="30">
        <v>45350</v>
      </c>
      <c r="B18" s="55">
        <v>1.5149999999999999</v>
      </c>
      <c r="C18" s="56">
        <v>3.0049999999999999</v>
      </c>
      <c r="D18" s="56">
        <v>2.5049999999999999</v>
      </c>
      <c r="E18" s="56">
        <v>1.75</v>
      </c>
      <c r="F18" s="56">
        <v>2.5099999999999998</v>
      </c>
      <c r="G18" s="56">
        <v>2.5</v>
      </c>
      <c r="H18" s="56">
        <v>1.25</v>
      </c>
      <c r="I18" s="56">
        <v>6.01</v>
      </c>
      <c r="J18" s="56"/>
      <c r="K18" s="57"/>
    </row>
    <row r="19" spans="1:39" s="64" customFormat="1" ht="15.75" x14ac:dyDescent="0.25">
      <c r="A19" s="29">
        <v>45351</v>
      </c>
      <c r="B19" s="66">
        <v>1.5</v>
      </c>
      <c r="C19" s="67">
        <v>3.0150000000000001</v>
      </c>
      <c r="D19" s="67">
        <v>2.5099999999999998</v>
      </c>
      <c r="E19" s="67">
        <v>1.35</v>
      </c>
      <c r="F19" s="67">
        <v>2.5049999999999999</v>
      </c>
      <c r="G19" s="67">
        <v>2.5049999999999999</v>
      </c>
      <c r="H19" s="67">
        <v>1.5</v>
      </c>
      <c r="I19" s="67">
        <v>6</v>
      </c>
      <c r="J19" s="67"/>
      <c r="K19" s="68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ht="15.75" x14ac:dyDescent="0.25">
      <c r="A20" s="30"/>
      <c r="B20" s="55"/>
      <c r="C20" s="56"/>
      <c r="D20" s="56"/>
      <c r="E20" s="56"/>
      <c r="F20" s="56"/>
      <c r="G20" s="56"/>
      <c r="H20" s="56"/>
      <c r="I20" s="56"/>
      <c r="J20" s="56"/>
      <c r="K20" s="57"/>
    </row>
    <row r="21" spans="1:39" s="64" customFormat="1" ht="15.75" x14ac:dyDescent="0.25">
      <c r="A21" s="29"/>
      <c r="B21" s="66"/>
      <c r="C21" s="67"/>
      <c r="D21" s="67"/>
      <c r="E21" s="67"/>
      <c r="F21" s="67"/>
      <c r="G21" s="67"/>
      <c r="H21" s="67"/>
      <c r="I21" s="67"/>
      <c r="J21" s="67"/>
      <c r="K21" s="68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ht="15.75" x14ac:dyDescent="0.25">
      <c r="A22" s="30"/>
      <c r="B22" s="55"/>
      <c r="C22" s="56"/>
      <c r="D22" s="56"/>
      <c r="E22" s="56"/>
      <c r="F22" s="56"/>
      <c r="G22" s="56"/>
      <c r="H22" s="56"/>
      <c r="I22" s="56"/>
      <c r="J22" s="56"/>
      <c r="K22" s="57"/>
    </row>
    <row r="23" spans="1:39" s="64" customFormat="1" ht="15.75" x14ac:dyDescent="0.25">
      <c r="A23" s="29"/>
      <c r="B23" s="66"/>
      <c r="C23" s="67"/>
      <c r="D23" s="67"/>
      <c r="E23" s="67"/>
      <c r="F23" s="67"/>
      <c r="G23" s="67"/>
      <c r="H23" s="67"/>
      <c r="I23" s="67"/>
      <c r="J23" s="67"/>
      <c r="K23" s="68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ht="15.75" x14ac:dyDescent="0.25">
      <c r="A24" s="30"/>
      <c r="B24" s="55"/>
      <c r="C24" s="56"/>
      <c r="D24" s="56"/>
      <c r="E24" s="56"/>
      <c r="F24" s="56"/>
      <c r="G24" s="56"/>
      <c r="H24" s="56"/>
      <c r="I24" s="56"/>
      <c r="J24" s="56"/>
      <c r="K24" s="57"/>
    </row>
    <row r="25" spans="1:39" s="64" customFormat="1" ht="15.75" x14ac:dyDescent="0.25">
      <c r="A25" s="29"/>
      <c r="B25" s="66"/>
      <c r="C25" s="67"/>
      <c r="D25" s="67"/>
      <c r="E25" s="67"/>
      <c r="F25" s="67"/>
      <c r="G25" s="67"/>
      <c r="H25" s="67"/>
      <c r="I25" s="67"/>
      <c r="J25" s="67"/>
      <c r="K25" s="68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ht="15.75" x14ac:dyDescent="0.25">
      <c r="A26" s="30"/>
      <c r="B26" s="55"/>
      <c r="C26" s="56"/>
      <c r="D26" s="56"/>
      <c r="E26" s="56"/>
      <c r="F26" s="56"/>
      <c r="G26" s="56"/>
      <c r="H26" s="56"/>
      <c r="I26" s="56"/>
      <c r="J26" s="56"/>
      <c r="K26" s="57"/>
    </row>
    <row r="27" spans="1:39" s="64" customFormat="1" ht="16.5" thickBot="1" x14ac:dyDescent="0.3">
      <c r="A27" s="79"/>
      <c r="B27" s="69"/>
      <c r="C27" s="70"/>
      <c r="D27" s="70"/>
      <c r="E27" s="70"/>
      <c r="F27" s="70"/>
      <c r="G27" s="70"/>
      <c r="H27" s="70"/>
      <c r="I27" s="70"/>
      <c r="J27" s="70"/>
      <c r="K27" s="71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ht="19.5" thickBot="1" x14ac:dyDescent="0.3">
      <c r="B28" s="5">
        <f>SUM(B4:B27)</f>
        <v>24.110000000000003</v>
      </c>
      <c r="C28" s="5">
        <f t="shared" ref="C28:K28" si="0">SUM(C4:C27)</f>
        <v>48.134999999999998</v>
      </c>
      <c r="D28" s="5">
        <f>SUM(E4:E27)</f>
        <v>8.35</v>
      </c>
      <c r="E28" s="5">
        <f>SUM(F4:F27)</f>
        <v>40.125</v>
      </c>
      <c r="F28" s="5">
        <f>SUM(F4:F27)</f>
        <v>40.125</v>
      </c>
      <c r="G28" s="5">
        <f t="shared" si="0"/>
        <v>40.115000000000002</v>
      </c>
      <c r="H28" s="5">
        <f t="shared" si="0"/>
        <v>37.869999999999997</v>
      </c>
      <c r="I28" s="5">
        <f>SUM(I4:I27)</f>
        <v>96.12</v>
      </c>
      <c r="J28" s="5">
        <f t="shared" si="0"/>
        <v>0</v>
      </c>
      <c r="K28" s="5">
        <f t="shared" si="0"/>
        <v>0</v>
      </c>
    </row>
    <row r="29" spans="1:39" ht="15.75" thickBot="1" x14ac:dyDescent="0.3">
      <c r="B29" s="2" t="s">
        <v>0</v>
      </c>
      <c r="C29" s="3" t="s">
        <v>1</v>
      </c>
      <c r="D29" s="2" t="s">
        <v>2</v>
      </c>
      <c r="E29" s="2" t="s">
        <v>25</v>
      </c>
      <c r="F29" s="4" t="s">
        <v>3</v>
      </c>
      <c r="G29" s="2" t="s">
        <v>4</v>
      </c>
      <c r="H29" s="4" t="s">
        <v>5</v>
      </c>
      <c r="I29" s="2" t="s">
        <v>6</v>
      </c>
      <c r="J29" s="4" t="s">
        <v>7</v>
      </c>
      <c r="K29" s="2"/>
    </row>
    <row r="30" spans="1:39" ht="15.75" thickBot="1" x14ac:dyDescent="0.3"/>
    <row r="31" spans="1:39" ht="18.75" x14ac:dyDescent="0.3">
      <c r="B31" s="87" t="s">
        <v>8</v>
      </c>
      <c r="C31" s="88"/>
      <c r="D31" s="88"/>
      <c r="E31" s="88"/>
      <c r="F31" s="87" t="s">
        <v>9</v>
      </c>
      <c r="G31" s="89"/>
      <c r="H31" s="88" t="s">
        <v>10</v>
      </c>
      <c r="I31" s="88"/>
      <c r="J31" s="89"/>
      <c r="K31" s="16"/>
    </row>
    <row r="32" spans="1:39" x14ac:dyDescent="0.25">
      <c r="B32" s="90">
        <f>B28+C28+D28+E28</f>
        <v>120.72</v>
      </c>
      <c r="C32" s="91"/>
      <c r="D32" s="91"/>
      <c r="E32" s="91"/>
      <c r="F32" s="90">
        <f>F28+G28</f>
        <v>80.240000000000009</v>
      </c>
      <c r="G32" s="94"/>
      <c r="H32" s="96">
        <f>H28+I28+J28</f>
        <v>133.99</v>
      </c>
      <c r="I32" s="91"/>
      <c r="J32" s="94"/>
      <c r="K32" s="97">
        <f>B32+F32+H32</f>
        <v>334.95000000000005</v>
      </c>
    </row>
    <row r="33" spans="2:11" ht="15.75" thickBot="1" x14ac:dyDescent="0.3">
      <c r="B33" s="92"/>
      <c r="C33" s="93"/>
      <c r="D33" s="93"/>
      <c r="E33" s="93"/>
      <c r="F33" s="92"/>
      <c r="G33" s="95"/>
      <c r="H33" s="93"/>
      <c r="I33" s="93"/>
      <c r="J33" s="95"/>
      <c r="K33" s="98"/>
    </row>
    <row r="37" spans="2:11" ht="15.75" x14ac:dyDescent="0.25">
      <c r="H37" s="46"/>
    </row>
    <row r="38" spans="2:11" x14ac:dyDescent="0.25">
      <c r="I38" s="45"/>
    </row>
    <row r="40" spans="2:11" x14ac:dyDescent="0.25">
      <c r="E40" s="45"/>
    </row>
  </sheetData>
  <mergeCells count="8">
    <mergeCell ref="B1:K1"/>
    <mergeCell ref="B31:E31"/>
    <mergeCell ref="F31:G31"/>
    <mergeCell ref="H31:J31"/>
    <mergeCell ref="B32:E33"/>
    <mergeCell ref="F32:G33"/>
    <mergeCell ref="H32:J33"/>
    <mergeCell ref="K32:K33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65AD0-E745-4300-AB6B-9CE0460E640B}">
  <dimension ref="A1:AM40"/>
  <sheetViews>
    <sheetView topLeftCell="A15" zoomScale="90" zoomScaleNormal="90" workbookViewId="0">
      <selection sqref="A1:K34"/>
    </sheetView>
  </sheetViews>
  <sheetFormatPr defaultColWidth="10.7109375" defaultRowHeight="15" x14ac:dyDescent="0.25"/>
  <cols>
    <col min="1" max="1" width="15.140625" customWidth="1"/>
    <col min="2" max="2" width="12" bestFit="1" customWidth="1"/>
  </cols>
  <sheetData>
    <row r="1" spans="1:39" ht="33" customHeight="1" thickBot="1" x14ac:dyDescent="0.3">
      <c r="A1" s="44" t="s">
        <v>14</v>
      </c>
      <c r="B1" s="84" t="s">
        <v>26</v>
      </c>
      <c r="C1" s="85"/>
      <c r="D1" s="85"/>
      <c r="E1" s="85"/>
      <c r="F1" s="85"/>
      <c r="G1" s="85"/>
      <c r="H1" s="85"/>
      <c r="I1" s="85"/>
      <c r="J1" s="85"/>
      <c r="K1" s="86"/>
    </row>
    <row r="2" spans="1:39" ht="15.75" x14ac:dyDescent="0.25">
      <c r="A2" s="78">
        <v>45383</v>
      </c>
      <c r="B2" s="31">
        <v>1.5449999999999999</v>
      </c>
      <c r="C2" s="32">
        <v>3.02</v>
      </c>
      <c r="D2" s="32">
        <v>2.5499999999999998</v>
      </c>
      <c r="E2" s="32">
        <v>1.42</v>
      </c>
      <c r="F2" s="32">
        <v>2.5299999999999998</v>
      </c>
      <c r="G2" s="32">
        <v>2.5499999999999998</v>
      </c>
      <c r="H2" s="32">
        <v>1.54</v>
      </c>
      <c r="I2" s="32">
        <v>6.0149999999999997</v>
      </c>
      <c r="J2" s="32">
        <v>6.0049999999999999</v>
      </c>
      <c r="K2" s="33"/>
    </row>
    <row r="3" spans="1:39" ht="15.75" x14ac:dyDescent="0.25">
      <c r="A3" s="29">
        <v>45384</v>
      </c>
      <c r="B3" s="76">
        <v>1.5549999999999999</v>
      </c>
      <c r="C3" s="25">
        <v>3.0049999999999999</v>
      </c>
      <c r="D3" s="25">
        <v>2.5550000000000002</v>
      </c>
      <c r="E3" s="25">
        <v>1.405</v>
      </c>
      <c r="F3" s="25">
        <v>2.5499999999999998</v>
      </c>
      <c r="G3" s="25">
        <v>2.5350000000000001</v>
      </c>
      <c r="H3" s="25">
        <v>1.5549999999999999</v>
      </c>
      <c r="I3" s="25">
        <v>6.0049999999999999</v>
      </c>
      <c r="J3" s="25">
        <v>6.0149999999999997</v>
      </c>
      <c r="K3" s="26"/>
    </row>
    <row r="4" spans="1:39" ht="15.75" x14ac:dyDescent="0.25">
      <c r="A4" s="30" t="s">
        <v>28</v>
      </c>
      <c r="B4" s="77">
        <v>1.5449999999999999</v>
      </c>
      <c r="C4" s="36">
        <v>3.01</v>
      </c>
      <c r="D4" s="36">
        <v>2.54</v>
      </c>
      <c r="E4" s="36">
        <v>1.415</v>
      </c>
      <c r="F4" s="36">
        <v>2.54</v>
      </c>
      <c r="G4" s="36">
        <v>2.54</v>
      </c>
      <c r="H4" s="36">
        <v>1.5449999999999999</v>
      </c>
      <c r="I4" s="36">
        <v>6.02</v>
      </c>
      <c r="J4" s="36">
        <v>6</v>
      </c>
      <c r="K4" s="37"/>
    </row>
    <row r="5" spans="1:39" ht="15.75" x14ac:dyDescent="0.25">
      <c r="A5" s="29">
        <v>45386</v>
      </c>
      <c r="B5" s="76">
        <v>1.55</v>
      </c>
      <c r="C5" s="25">
        <v>3.0249999999999999</v>
      </c>
      <c r="D5" s="25">
        <v>3.0649999999999999</v>
      </c>
      <c r="E5" s="25">
        <v>1.865</v>
      </c>
      <c r="F5" s="25">
        <v>2.5550000000000002</v>
      </c>
      <c r="G5" s="25">
        <v>2.5499999999999998</v>
      </c>
      <c r="H5" s="25">
        <v>1.55</v>
      </c>
      <c r="I5" s="25">
        <v>6.0049999999999999</v>
      </c>
      <c r="J5" s="25">
        <v>6.01</v>
      </c>
      <c r="K5" s="26"/>
    </row>
    <row r="6" spans="1:39" ht="15.75" x14ac:dyDescent="0.25">
      <c r="A6" s="30">
        <v>45387</v>
      </c>
      <c r="B6" s="35">
        <v>1.55</v>
      </c>
      <c r="C6" s="36">
        <v>3.02</v>
      </c>
      <c r="D6" s="36">
        <v>3.05</v>
      </c>
      <c r="E6" s="36">
        <v>1.87</v>
      </c>
      <c r="F6" s="36">
        <v>2.56</v>
      </c>
      <c r="G6" s="36">
        <v>2.5499999999999998</v>
      </c>
      <c r="H6" s="36">
        <v>1.5549999999999999</v>
      </c>
      <c r="I6" s="36">
        <v>6.0149999999999997</v>
      </c>
      <c r="J6" s="36">
        <v>6.0149999999999997</v>
      </c>
      <c r="K6" s="37"/>
    </row>
    <row r="7" spans="1:39" ht="15.75" x14ac:dyDescent="0.25">
      <c r="A7" s="29">
        <v>45390</v>
      </c>
      <c r="B7" s="59">
        <v>1.5449999999999999</v>
      </c>
      <c r="C7" s="60">
        <v>3.0150000000000001</v>
      </c>
      <c r="D7" s="60">
        <v>3.0550000000000002</v>
      </c>
      <c r="E7" s="60">
        <v>1.86</v>
      </c>
      <c r="F7" s="60">
        <v>2.5649999999999999</v>
      </c>
      <c r="G7" s="60">
        <v>2.5550000000000002</v>
      </c>
      <c r="H7" s="60">
        <v>1.54</v>
      </c>
      <c r="I7" s="60">
        <v>6.02</v>
      </c>
      <c r="J7" s="60">
        <v>6.0049999999999999</v>
      </c>
      <c r="K7" s="61"/>
    </row>
    <row r="8" spans="1:39" ht="15.75" x14ac:dyDescent="0.25">
      <c r="A8" s="30">
        <v>45391</v>
      </c>
      <c r="B8" s="38">
        <v>1.5549999999999999</v>
      </c>
      <c r="C8" s="36">
        <v>3.02</v>
      </c>
      <c r="D8" s="36">
        <v>3.05</v>
      </c>
      <c r="E8" s="36">
        <v>1.865</v>
      </c>
      <c r="F8" s="36">
        <v>2.5499999999999998</v>
      </c>
      <c r="G8" s="36">
        <v>2.56</v>
      </c>
      <c r="H8" s="36">
        <v>1.55</v>
      </c>
      <c r="I8" s="36">
        <v>6.0049999999999999</v>
      </c>
      <c r="J8" s="36">
        <v>6.01</v>
      </c>
      <c r="K8" s="39"/>
    </row>
    <row r="9" spans="1:39" ht="15.75" x14ac:dyDescent="0.25">
      <c r="A9" s="29">
        <v>45392</v>
      </c>
      <c r="B9" s="62">
        <v>1.55</v>
      </c>
      <c r="C9" s="60">
        <v>3.0150000000000001</v>
      </c>
      <c r="D9" s="60">
        <v>3.06</v>
      </c>
      <c r="E9" s="60">
        <v>1.85</v>
      </c>
      <c r="F9" s="60">
        <v>2.56</v>
      </c>
      <c r="G9" s="60"/>
      <c r="H9" s="60">
        <v>1.54</v>
      </c>
      <c r="I9" s="60">
        <v>6.0149999999999997</v>
      </c>
      <c r="J9" s="60">
        <v>6.0049999999999999</v>
      </c>
      <c r="K9" s="63"/>
    </row>
    <row r="10" spans="1:39" ht="15.75" x14ac:dyDescent="0.25">
      <c r="A10" s="30">
        <v>45393</v>
      </c>
      <c r="B10" s="38">
        <v>1.55</v>
      </c>
      <c r="C10" s="36">
        <v>3.02</v>
      </c>
      <c r="D10" s="36">
        <v>3.05</v>
      </c>
      <c r="E10" s="36">
        <v>1.855</v>
      </c>
      <c r="F10" s="36">
        <v>2.5649999999999999</v>
      </c>
      <c r="G10" s="36">
        <v>2.5750000000000002</v>
      </c>
      <c r="H10" s="36">
        <v>1.5449999999999999</v>
      </c>
      <c r="I10" s="36">
        <v>6.0149999999999997</v>
      </c>
      <c r="J10" s="36">
        <v>6.0149999999999997</v>
      </c>
      <c r="K10" s="39"/>
    </row>
    <row r="11" spans="1:39" ht="15.75" x14ac:dyDescent="0.25">
      <c r="A11" s="29">
        <v>45394</v>
      </c>
      <c r="B11" s="62">
        <v>1.5549999999999999</v>
      </c>
      <c r="C11" s="60">
        <v>3.01</v>
      </c>
      <c r="D11" s="60">
        <v>3.0550000000000002</v>
      </c>
      <c r="E11" s="60">
        <v>1.845</v>
      </c>
      <c r="F11" s="60">
        <v>2.5550000000000002</v>
      </c>
      <c r="G11" s="60">
        <v>2.5649999999999999</v>
      </c>
      <c r="H11" s="60">
        <v>1.5349999999999999</v>
      </c>
      <c r="I11" s="60">
        <v>6</v>
      </c>
      <c r="J11" s="60">
        <v>6</v>
      </c>
      <c r="K11" s="63"/>
    </row>
    <row r="12" spans="1:39" ht="15.75" x14ac:dyDescent="0.25">
      <c r="A12" s="30">
        <v>45397</v>
      </c>
      <c r="B12" s="38">
        <v>1.5449999999999999</v>
      </c>
      <c r="C12" s="36">
        <v>3.0249999999999999</v>
      </c>
      <c r="D12" s="36">
        <v>3.07</v>
      </c>
      <c r="E12" s="36">
        <v>1.87</v>
      </c>
      <c r="F12" s="36">
        <v>2.5499999999999998</v>
      </c>
      <c r="G12" s="36">
        <v>2.5550000000000002</v>
      </c>
      <c r="H12" s="36">
        <v>1.55</v>
      </c>
      <c r="I12" s="36">
        <v>6.01</v>
      </c>
      <c r="J12" s="36">
        <v>6.01</v>
      </c>
      <c r="K12" s="39"/>
    </row>
    <row r="13" spans="1:39" s="64" customFormat="1" ht="15.75" x14ac:dyDescent="0.25">
      <c r="A13" s="29">
        <v>45398</v>
      </c>
      <c r="B13" s="62">
        <v>1.5449999999999999</v>
      </c>
      <c r="C13" s="60">
        <v>3.03</v>
      </c>
      <c r="D13" s="60">
        <v>3.06</v>
      </c>
      <c r="E13" s="60">
        <v>0</v>
      </c>
      <c r="F13" s="60">
        <v>2.57</v>
      </c>
      <c r="G13" s="60">
        <v>2.57</v>
      </c>
      <c r="H13" s="60">
        <v>1.55</v>
      </c>
      <c r="I13" s="60">
        <v>6.0049999999999999</v>
      </c>
      <c r="J13" s="60">
        <v>6.01</v>
      </c>
      <c r="K13" s="6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ht="15.75" x14ac:dyDescent="0.25">
      <c r="A14" s="30">
        <v>45399</v>
      </c>
      <c r="B14" s="38">
        <v>1.5549999999999999</v>
      </c>
      <c r="C14" s="36">
        <v>3.01</v>
      </c>
      <c r="D14" s="36">
        <v>3.0649999999999999</v>
      </c>
      <c r="E14" s="36">
        <v>1.86</v>
      </c>
      <c r="F14" s="36">
        <v>2.5649999999999999</v>
      </c>
      <c r="G14" s="36">
        <v>2.56</v>
      </c>
      <c r="H14" s="36">
        <v>1.5549999999999999</v>
      </c>
      <c r="I14" s="36">
        <v>6.01</v>
      </c>
      <c r="J14" s="36">
        <v>6.0049999999999999</v>
      </c>
      <c r="K14" s="39"/>
    </row>
    <row r="15" spans="1:39" s="64" customFormat="1" ht="15.75" x14ac:dyDescent="0.25">
      <c r="A15" s="29">
        <v>45400</v>
      </c>
      <c r="B15" s="62">
        <v>1.55</v>
      </c>
      <c r="C15" s="60">
        <v>3.02</v>
      </c>
      <c r="D15" s="60">
        <v>3.07</v>
      </c>
      <c r="E15" s="60">
        <v>1.855</v>
      </c>
      <c r="F15" s="60">
        <v>2.57</v>
      </c>
      <c r="G15" s="60">
        <v>2.57</v>
      </c>
      <c r="H15" s="60">
        <v>1.5449999999999999</v>
      </c>
      <c r="I15" s="60">
        <v>6.0049999999999999</v>
      </c>
      <c r="J15" s="60">
        <v>6.0149999999999997</v>
      </c>
      <c r="K15" s="63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ht="15.75" x14ac:dyDescent="0.25">
      <c r="A16" s="30">
        <v>45401</v>
      </c>
      <c r="B16" s="55">
        <v>1.56</v>
      </c>
      <c r="C16" s="56">
        <v>3.01</v>
      </c>
      <c r="D16" s="56">
        <v>3.0550000000000002</v>
      </c>
      <c r="E16" s="56">
        <v>1.87</v>
      </c>
      <c r="F16" s="56">
        <v>2.5550000000000002</v>
      </c>
      <c r="G16" s="56">
        <v>2.5550000000000002</v>
      </c>
      <c r="H16" s="56">
        <v>1.55</v>
      </c>
      <c r="I16" s="56">
        <v>6.01</v>
      </c>
      <c r="J16" s="56">
        <v>6</v>
      </c>
      <c r="K16" s="57"/>
    </row>
    <row r="17" spans="1:39" s="64" customFormat="1" ht="15.75" x14ac:dyDescent="0.25">
      <c r="A17" s="29">
        <v>45404</v>
      </c>
      <c r="B17" s="66">
        <v>1.5449999999999999</v>
      </c>
      <c r="C17" s="67">
        <v>3.02</v>
      </c>
      <c r="D17" s="67">
        <v>3.06</v>
      </c>
      <c r="E17" s="67">
        <v>1.875</v>
      </c>
      <c r="F17" s="67">
        <v>2.5649999999999999</v>
      </c>
      <c r="G17" s="67">
        <v>2.57</v>
      </c>
      <c r="H17" s="67">
        <v>1.55</v>
      </c>
      <c r="I17" s="67">
        <v>6.0149999999999997</v>
      </c>
      <c r="J17" s="67">
        <v>6.0049999999999999</v>
      </c>
      <c r="K17" s="68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ht="15.75" x14ac:dyDescent="0.25">
      <c r="A18" s="30">
        <v>45405</v>
      </c>
      <c r="B18" s="55">
        <v>1.55</v>
      </c>
      <c r="C18" s="56">
        <v>3.0150000000000001</v>
      </c>
      <c r="D18" s="56">
        <v>3.07</v>
      </c>
      <c r="E18" s="56">
        <v>1.855</v>
      </c>
      <c r="F18" s="56">
        <v>2.57</v>
      </c>
      <c r="G18" s="56">
        <v>2.5449999999999999</v>
      </c>
      <c r="H18" s="56">
        <v>1.54</v>
      </c>
      <c r="I18" s="56">
        <v>6</v>
      </c>
      <c r="J18" s="56">
        <v>6.01</v>
      </c>
      <c r="K18" s="57"/>
    </row>
    <row r="19" spans="1:39" s="64" customFormat="1" ht="15.75" x14ac:dyDescent="0.25">
      <c r="A19" s="29">
        <v>45406</v>
      </c>
      <c r="B19" s="66">
        <v>1.55</v>
      </c>
      <c r="C19" s="67">
        <v>3.0350000000000001</v>
      </c>
      <c r="D19" s="67">
        <v>3.0750000000000002</v>
      </c>
      <c r="E19" s="67">
        <v>1.85</v>
      </c>
      <c r="F19" s="67">
        <v>2.56</v>
      </c>
      <c r="G19" s="67">
        <v>2.5649999999999999</v>
      </c>
      <c r="H19" s="67">
        <v>1.5449999999999999</v>
      </c>
      <c r="I19" s="67">
        <v>6.01</v>
      </c>
      <c r="J19" s="67">
        <v>6.0049999999999999</v>
      </c>
      <c r="K19" s="68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ht="15.75" x14ac:dyDescent="0.25">
      <c r="A20" s="30">
        <v>45407</v>
      </c>
      <c r="B20" s="55">
        <v>1.5549999999999999</v>
      </c>
      <c r="C20" s="56">
        <v>3.0249999999999999</v>
      </c>
      <c r="D20" s="56">
        <v>3.0550000000000002</v>
      </c>
      <c r="E20" s="56">
        <v>1.865</v>
      </c>
      <c r="F20" s="56">
        <v>2.5499999999999998</v>
      </c>
      <c r="G20" s="56">
        <v>2.56</v>
      </c>
      <c r="H20" s="56">
        <v>1.54</v>
      </c>
      <c r="I20" s="56">
        <v>6.0049999999999999</v>
      </c>
      <c r="J20" s="56">
        <v>6.01</v>
      </c>
      <c r="K20" s="57"/>
    </row>
    <row r="21" spans="1:39" s="64" customFormat="1" ht="15.75" x14ac:dyDescent="0.25">
      <c r="A21" s="29">
        <v>45408</v>
      </c>
      <c r="B21" s="66">
        <v>1.55</v>
      </c>
      <c r="C21" s="67">
        <v>3.02</v>
      </c>
      <c r="D21" s="67">
        <v>3.06</v>
      </c>
      <c r="E21" s="67">
        <v>1.87</v>
      </c>
      <c r="F21" s="67">
        <v>2.56</v>
      </c>
      <c r="G21" s="67">
        <v>2.5550000000000002</v>
      </c>
      <c r="H21" s="67">
        <v>1.55</v>
      </c>
      <c r="I21" s="67">
        <v>6.02</v>
      </c>
      <c r="J21" s="67">
        <v>6.0149999999999997</v>
      </c>
      <c r="K21" s="68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ht="15.75" x14ac:dyDescent="0.25">
      <c r="A22" s="30">
        <v>45411</v>
      </c>
      <c r="B22" s="55">
        <v>1.5549999999999999</v>
      </c>
      <c r="C22" s="56">
        <v>3.03</v>
      </c>
      <c r="D22" s="56">
        <v>3.07</v>
      </c>
      <c r="E22" s="56">
        <v>1.85</v>
      </c>
      <c r="F22" s="56">
        <v>2.5649999999999999</v>
      </c>
      <c r="G22" s="56">
        <v>2.57</v>
      </c>
      <c r="H22" s="56">
        <v>1.55</v>
      </c>
      <c r="I22" s="56">
        <v>6.01</v>
      </c>
      <c r="J22" s="56">
        <v>6</v>
      </c>
      <c r="K22" s="57"/>
    </row>
    <row r="23" spans="1:39" s="64" customFormat="1" ht="15.75" x14ac:dyDescent="0.25">
      <c r="A23" s="29">
        <v>45412</v>
      </c>
      <c r="B23" s="66">
        <v>1.5449999999999999</v>
      </c>
      <c r="C23" s="67">
        <v>3.0150000000000001</v>
      </c>
      <c r="D23" s="67">
        <v>3.0550000000000002</v>
      </c>
      <c r="E23" s="67">
        <v>1.865</v>
      </c>
      <c r="F23" s="67">
        <v>2.57</v>
      </c>
      <c r="G23" s="67">
        <v>2.56</v>
      </c>
      <c r="H23" s="67">
        <v>1.5549999999999999</v>
      </c>
      <c r="I23" s="67">
        <v>6.0149999999999997</v>
      </c>
      <c r="J23" s="67">
        <v>6.01</v>
      </c>
      <c r="K23" s="68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ht="15.75" x14ac:dyDescent="0.25">
      <c r="A24" s="30"/>
      <c r="B24" s="55"/>
      <c r="C24" s="56"/>
      <c r="D24" s="56"/>
      <c r="E24" s="56"/>
      <c r="F24" s="56"/>
      <c r="G24" s="56"/>
      <c r="H24" s="56"/>
      <c r="I24" s="56"/>
      <c r="J24" s="56"/>
      <c r="K24" s="57"/>
    </row>
    <row r="25" spans="1:39" s="64" customFormat="1" ht="15.75" x14ac:dyDescent="0.25">
      <c r="A25" s="29"/>
      <c r="B25" s="66"/>
      <c r="C25" s="67"/>
      <c r="D25" s="67"/>
      <c r="E25" s="67"/>
      <c r="F25" s="67"/>
      <c r="G25" s="67"/>
      <c r="H25" s="67"/>
      <c r="I25" s="67"/>
      <c r="J25" s="67">
        <v>6.99</v>
      </c>
      <c r="K25" s="68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ht="15.75" x14ac:dyDescent="0.25">
      <c r="A26" s="30"/>
      <c r="B26" s="55"/>
      <c r="C26" s="56"/>
      <c r="D26" s="56"/>
      <c r="E26" s="56"/>
      <c r="F26" s="56"/>
      <c r="G26" s="56"/>
      <c r="H26" s="56"/>
      <c r="I26" s="56"/>
      <c r="J26" s="56">
        <v>6.02</v>
      </c>
      <c r="K26" s="57"/>
    </row>
    <row r="27" spans="1:39" s="64" customFormat="1" ht="16.5" thickBot="1" x14ac:dyDescent="0.3">
      <c r="A27" s="79"/>
      <c r="B27" s="69"/>
      <c r="C27" s="70"/>
      <c r="D27" s="70"/>
      <c r="E27" s="70"/>
      <c r="F27" s="70"/>
      <c r="G27" s="70"/>
      <c r="H27" s="70"/>
      <c r="I27" s="70"/>
      <c r="J27" s="70"/>
      <c r="K27" s="71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ht="19.5" thickBot="1" x14ac:dyDescent="0.3">
      <c r="B28" s="5">
        <f>SUM(B4:B27)</f>
        <v>31.005000000000003</v>
      </c>
      <c r="C28" s="5">
        <f t="shared" ref="C28:K28" si="0">SUM(C4:C27)</f>
        <v>60.39</v>
      </c>
      <c r="D28" s="5">
        <f>SUM(E4:E27)</f>
        <v>34.910000000000004</v>
      </c>
      <c r="E28" s="5">
        <f>SUM(E4:E27)</f>
        <v>34.910000000000004</v>
      </c>
      <c r="F28" s="5">
        <f>SUM(F4:F27)</f>
        <v>51.2</v>
      </c>
      <c r="G28" s="5">
        <f t="shared" si="0"/>
        <v>48.63</v>
      </c>
      <c r="H28" s="5">
        <f t="shared" si="0"/>
        <v>30.940000000000005</v>
      </c>
      <c r="I28" s="5">
        <f>SUM(I4:I27)</f>
        <v>120.21000000000001</v>
      </c>
      <c r="J28" s="5">
        <f t="shared" si="0"/>
        <v>133.16499999999999</v>
      </c>
      <c r="K28" s="5">
        <f t="shared" si="0"/>
        <v>0</v>
      </c>
    </row>
    <row r="29" spans="1:39" ht="15.75" thickBot="1" x14ac:dyDescent="0.3">
      <c r="B29" s="2" t="s">
        <v>0</v>
      </c>
      <c r="C29" s="3" t="s">
        <v>1</v>
      </c>
      <c r="D29" s="2" t="s">
        <v>2</v>
      </c>
      <c r="E29" s="2" t="s">
        <v>25</v>
      </c>
      <c r="F29" s="4" t="s">
        <v>3</v>
      </c>
      <c r="G29" s="2" t="s">
        <v>4</v>
      </c>
      <c r="H29" s="4" t="s">
        <v>5</v>
      </c>
      <c r="I29" s="2" t="s">
        <v>6</v>
      </c>
      <c r="J29" s="4" t="s">
        <v>7</v>
      </c>
      <c r="K29" s="2"/>
    </row>
    <row r="30" spans="1:39" ht="15.75" thickBot="1" x14ac:dyDescent="0.3"/>
    <row r="31" spans="1:39" ht="18.75" x14ac:dyDescent="0.3">
      <c r="B31" s="87" t="s">
        <v>8</v>
      </c>
      <c r="C31" s="88"/>
      <c r="D31" s="88"/>
      <c r="E31" s="88"/>
      <c r="F31" s="87" t="s">
        <v>9</v>
      </c>
      <c r="G31" s="89"/>
      <c r="H31" s="88" t="s">
        <v>10</v>
      </c>
      <c r="I31" s="88"/>
      <c r="J31" s="89"/>
      <c r="K31" s="16"/>
    </row>
    <row r="32" spans="1:39" x14ac:dyDescent="0.25">
      <c r="B32" s="90">
        <f>B28+C28+D28+E28</f>
        <v>161.215</v>
      </c>
      <c r="C32" s="91"/>
      <c r="D32" s="91"/>
      <c r="E32" s="91"/>
      <c r="F32" s="90">
        <f>F28+G28</f>
        <v>99.830000000000013</v>
      </c>
      <c r="G32" s="94"/>
      <c r="H32" s="96">
        <f>H28+I28+J28</f>
        <v>284.315</v>
      </c>
      <c r="I32" s="91"/>
      <c r="J32" s="94"/>
      <c r="K32" s="97">
        <f>B32+F32+H32</f>
        <v>545.36</v>
      </c>
    </row>
    <row r="33" spans="2:11" ht="15.75" thickBot="1" x14ac:dyDescent="0.3">
      <c r="B33" s="92"/>
      <c r="C33" s="93"/>
      <c r="D33" s="93"/>
      <c r="E33" s="93"/>
      <c r="F33" s="92"/>
      <c r="G33" s="95"/>
      <c r="H33" s="93"/>
      <c r="I33" s="93"/>
      <c r="J33" s="95"/>
      <c r="K33" s="98"/>
    </row>
    <row r="37" spans="2:11" ht="15.75" x14ac:dyDescent="0.25">
      <c r="H37" s="46"/>
    </row>
    <row r="38" spans="2:11" x14ac:dyDescent="0.25">
      <c r="I38" s="45"/>
    </row>
    <row r="40" spans="2:11" x14ac:dyDescent="0.25">
      <c r="E40" s="45"/>
    </row>
  </sheetData>
  <mergeCells count="8">
    <mergeCell ref="B1:K1"/>
    <mergeCell ref="B31:E31"/>
    <mergeCell ref="F31:G31"/>
    <mergeCell ref="H31:J31"/>
    <mergeCell ref="B32:E33"/>
    <mergeCell ref="F32:G33"/>
    <mergeCell ref="H32:J33"/>
    <mergeCell ref="K32:K3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B7C0-C5C0-4E96-BD81-88189CFD7A12}">
  <dimension ref="A1:AM40"/>
  <sheetViews>
    <sheetView topLeftCell="A16" zoomScale="90" zoomScaleNormal="90" workbookViewId="0">
      <selection activeCell="H36" sqref="H36"/>
    </sheetView>
  </sheetViews>
  <sheetFormatPr defaultColWidth="10.7109375" defaultRowHeight="15" x14ac:dyDescent="0.25"/>
  <cols>
    <col min="1" max="1" width="15.140625" customWidth="1"/>
    <col min="2" max="2" width="12" bestFit="1" customWidth="1"/>
  </cols>
  <sheetData>
    <row r="1" spans="1:39" ht="33" customHeight="1" thickBot="1" x14ac:dyDescent="0.3">
      <c r="A1" s="44" t="s">
        <v>14</v>
      </c>
      <c r="B1" s="84" t="s">
        <v>26</v>
      </c>
      <c r="C1" s="85"/>
      <c r="D1" s="85"/>
      <c r="E1" s="85"/>
      <c r="F1" s="85"/>
      <c r="G1" s="85"/>
      <c r="H1" s="85"/>
      <c r="I1" s="85"/>
      <c r="J1" s="85"/>
      <c r="K1" s="86"/>
    </row>
    <row r="2" spans="1:39" ht="16.5" thickBot="1" x14ac:dyDescent="0.3">
      <c r="A2" s="78">
        <v>45446</v>
      </c>
      <c r="B2" s="31">
        <v>1.55</v>
      </c>
      <c r="C2" s="32">
        <v>3.0249999999999999</v>
      </c>
      <c r="D2" s="32">
        <v>3.0350000000000001</v>
      </c>
      <c r="E2" s="32">
        <v>1.875</v>
      </c>
      <c r="F2" s="32">
        <v>2.5550000000000002</v>
      </c>
      <c r="G2" s="32">
        <v>2.5499999999999998</v>
      </c>
      <c r="H2" s="32">
        <v>1.5449999999999999</v>
      </c>
      <c r="I2" s="32">
        <v>6.01</v>
      </c>
      <c r="J2" s="32">
        <v>6.0049999999999999</v>
      </c>
      <c r="K2" s="33"/>
    </row>
    <row r="3" spans="1:39" ht="16.5" thickBot="1" x14ac:dyDescent="0.3">
      <c r="A3" s="80">
        <v>45447</v>
      </c>
      <c r="B3" s="76">
        <v>1.58</v>
      </c>
      <c r="C3" s="25">
        <v>3.03</v>
      </c>
      <c r="D3" s="25">
        <v>3.02</v>
      </c>
      <c r="E3" s="25">
        <v>1.88</v>
      </c>
      <c r="F3" s="25">
        <v>2.56</v>
      </c>
      <c r="G3" s="25">
        <v>2.56</v>
      </c>
      <c r="H3" s="25">
        <v>1.54</v>
      </c>
      <c r="I3" s="25">
        <v>6.02</v>
      </c>
      <c r="J3" s="25">
        <v>7.6550000000000002</v>
      </c>
      <c r="K3" s="26"/>
    </row>
    <row r="4" spans="1:39" ht="16.5" thickBot="1" x14ac:dyDescent="0.3">
      <c r="A4" s="78">
        <v>45448</v>
      </c>
      <c r="B4" s="77">
        <v>1.58</v>
      </c>
      <c r="C4" s="36">
        <v>3.02</v>
      </c>
      <c r="D4" s="36">
        <v>3.01</v>
      </c>
      <c r="E4" s="36">
        <v>1.89</v>
      </c>
      <c r="F4" s="36">
        <v>2.5649999999999999</v>
      </c>
      <c r="G4" s="36">
        <v>2.5499999999999998</v>
      </c>
      <c r="H4" s="36">
        <v>1.55</v>
      </c>
      <c r="I4" s="36">
        <v>9.8350000000000009</v>
      </c>
      <c r="J4" s="36">
        <v>6.0049999999999999</v>
      </c>
      <c r="K4" s="37"/>
    </row>
    <row r="5" spans="1:39" ht="16.5" thickBot="1" x14ac:dyDescent="0.3">
      <c r="A5" s="80">
        <v>45449</v>
      </c>
      <c r="B5" s="76">
        <v>1.5649999999999999</v>
      </c>
      <c r="C5" s="25">
        <v>3.01</v>
      </c>
      <c r="D5" s="25">
        <v>3.0150000000000001</v>
      </c>
      <c r="E5" s="25">
        <v>1.87</v>
      </c>
      <c r="F5" s="25">
        <v>2.56</v>
      </c>
      <c r="G5" s="25">
        <v>2.5649999999999999</v>
      </c>
      <c r="H5" s="25">
        <v>1.55</v>
      </c>
      <c r="I5" s="25">
        <v>6.0049999999999999</v>
      </c>
      <c r="J5" s="25">
        <v>6.02</v>
      </c>
      <c r="K5" s="26"/>
    </row>
    <row r="6" spans="1:39" ht="16.5" thickBot="1" x14ac:dyDescent="0.3">
      <c r="A6" s="78">
        <v>45450</v>
      </c>
      <c r="B6" s="35">
        <v>1.5549999999999999</v>
      </c>
      <c r="C6" s="36">
        <v>3.0150000000000001</v>
      </c>
      <c r="D6" s="36">
        <v>3.02</v>
      </c>
      <c r="E6" s="36">
        <v>1.865</v>
      </c>
      <c r="F6" s="36">
        <v>2.5499999999999998</v>
      </c>
      <c r="G6" s="36">
        <v>2.5649999999999999</v>
      </c>
      <c r="H6" s="36">
        <v>1.57</v>
      </c>
      <c r="I6" s="36">
        <v>6.01</v>
      </c>
      <c r="J6" s="36">
        <v>6.01</v>
      </c>
      <c r="K6" s="37"/>
    </row>
    <row r="7" spans="1:39" ht="16.5" thickBot="1" x14ac:dyDescent="0.3">
      <c r="A7" s="80">
        <v>45453</v>
      </c>
      <c r="B7" s="59">
        <v>1.56</v>
      </c>
      <c r="C7" s="60">
        <v>3.0049999999999999</v>
      </c>
      <c r="D7" s="60">
        <v>3.0150000000000001</v>
      </c>
      <c r="E7" s="60">
        <v>1.87</v>
      </c>
      <c r="F7" s="60">
        <v>2.56</v>
      </c>
      <c r="G7" s="60">
        <v>2.5499999999999998</v>
      </c>
      <c r="H7" s="60">
        <v>1.5449999999999999</v>
      </c>
      <c r="I7" s="60">
        <v>6.01</v>
      </c>
      <c r="J7" s="60">
        <v>6.01</v>
      </c>
      <c r="K7" s="61"/>
    </row>
    <row r="8" spans="1:39" ht="16.5" thickBot="1" x14ac:dyDescent="0.3">
      <c r="A8" s="78">
        <v>45454</v>
      </c>
      <c r="B8" s="38">
        <v>1.5649999999999999</v>
      </c>
      <c r="C8" s="36">
        <v>3.01</v>
      </c>
      <c r="D8" s="36">
        <v>3.02</v>
      </c>
      <c r="E8" s="36">
        <v>1.865</v>
      </c>
      <c r="F8" s="36">
        <v>2.56</v>
      </c>
      <c r="G8" s="36">
        <v>2.5550000000000002</v>
      </c>
      <c r="H8" s="36">
        <v>1.5549999999999999</v>
      </c>
      <c r="I8" s="36">
        <v>6.0149999999999997</v>
      </c>
      <c r="J8" s="36">
        <v>12.835000000000001</v>
      </c>
      <c r="K8" s="39"/>
    </row>
    <row r="9" spans="1:39" ht="16.5" thickBot="1" x14ac:dyDescent="0.3">
      <c r="A9" s="80">
        <v>45455</v>
      </c>
      <c r="B9" s="62">
        <v>1.56</v>
      </c>
      <c r="C9" s="60">
        <v>3.02</v>
      </c>
      <c r="D9" s="60">
        <v>3.01</v>
      </c>
      <c r="E9" s="60">
        <v>1.87</v>
      </c>
      <c r="F9" s="60">
        <v>2.5499999999999998</v>
      </c>
      <c r="G9" s="60">
        <v>2.56</v>
      </c>
      <c r="H9" s="60">
        <v>1.55</v>
      </c>
      <c r="I9" s="60">
        <v>6.02</v>
      </c>
      <c r="J9" s="60">
        <v>6.02</v>
      </c>
      <c r="K9" s="63"/>
    </row>
    <row r="10" spans="1:39" ht="16.5" thickBot="1" x14ac:dyDescent="0.3">
      <c r="A10" s="78">
        <v>45456</v>
      </c>
      <c r="B10" s="38">
        <v>1.57</v>
      </c>
      <c r="C10" s="36">
        <v>3.0150000000000001</v>
      </c>
      <c r="D10" s="36">
        <v>3.02</v>
      </c>
      <c r="E10" s="36">
        <v>1.875</v>
      </c>
      <c r="F10" s="36">
        <v>2.57</v>
      </c>
      <c r="G10" s="36">
        <v>2.56</v>
      </c>
      <c r="H10" s="36">
        <v>1.5649999999999999</v>
      </c>
      <c r="I10" s="36">
        <v>6.01</v>
      </c>
      <c r="J10" s="36">
        <v>6.0049999999999999</v>
      </c>
      <c r="K10" s="39"/>
    </row>
    <row r="11" spans="1:39" ht="16.5" thickBot="1" x14ac:dyDescent="0.3">
      <c r="A11" s="80">
        <v>45457</v>
      </c>
      <c r="B11" s="62">
        <v>1.55</v>
      </c>
      <c r="C11" s="60">
        <v>3.02</v>
      </c>
      <c r="D11" s="60">
        <v>3.0350000000000001</v>
      </c>
      <c r="E11" s="60">
        <v>1.865</v>
      </c>
      <c r="F11" s="60">
        <v>2.5649999999999999</v>
      </c>
      <c r="G11" s="60">
        <v>2.5449999999999999</v>
      </c>
      <c r="H11" s="60">
        <v>1.5549999999999999</v>
      </c>
      <c r="I11" s="60">
        <v>6</v>
      </c>
      <c r="J11" s="60">
        <v>6.0049999999999999</v>
      </c>
      <c r="K11" s="63"/>
    </row>
    <row r="12" spans="1:39" ht="16.5" thickBot="1" x14ac:dyDescent="0.3">
      <c r="A12" s="78">
        <v>45460</v>
      </c>
      <c r="B12" s="38">
        <v>1.55</v>
      </c>
      <c r="C12" s="36">
        <v>3.02</v>
      </c>
      <c r="D12" s="36">
        <v>3.0350000000000001</v>
      </c>
      <c r="E12" s="36">
        <v>1.85</v>
      </c>
      <c r="F12" s="36">
        <v>2.5550000000000002</v>
      </c>
      <c r="G12" s="36">
        <v>2.5499999999999998</v>
      </c>
      <c r="H12" s="36">
        <v>1.575</v>
      </c>
      <c r="I12" s="36">
        <v>6.01</v>
      </c>
      <c r="J12" s="36">
        <v>11.425000000000001</v>
      </c>
      <c r="K12" s="39"/>
    </row>
    <row r="13" spans="1:39" s="64" customFormat="1" ht="16.5" thickBot="1" x14ac:dyDescent="0.3">
      <c r="A13" s="80">
        <v>45461</v>
      </c>
      <c r="B13" s="62">
        <v>1.56</v>
      </c>
      <c r="C13" s="60">
        <v>3.01</v>
      </c>
      <c r="D13" s="60">
        <v>3.02</v>
      </c>
      <c r="E13" s="60">
        <v>1.855</v>
      </c>
      <c r="F13" s="60">
        <v>2.56</v>
      </c>
      <c r="G13" s="60">
        <v>2.57</v>
      </c>
      <c r="H13" s="60">
        <v>1.56</v>
      </c>
      <c r="I13" s="60">
        <v>6.0049999999999999</v>
      </c>
      <c r="J13" s="60">
        <v>6.01</v>
      </c>
      <c r="K13" s="6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ht="16.5" thickBot="1" x14ac:dyDescent="0.3">
      <c r="A14" s="78">
        <v>45462</v>
      </c>
      <c r="B14" s="38">
        <v>1.5649999999999999</v>
      </c>
      <c r="C14" s="36">
        <v>3.0150000000000001</v>
      </c>
      <c r="D14" s="36">
        <v>3.0150000000000001</v>
      </c>
      <c r="E14" s="36">
        <v>1.85</v>
      </c>
      <c r="F14" s="36">
        <v>2.5550000000000002</v>
      </c>
      <c r="G14" s="36">
        <v>2.5550000000000002</v>
      </c>
      <c r="H14" s="36">
        <v>1.5549999999999999</v>
      </c>
      <c r="I14" s="36">
        <v>6.01</v>
      </c>
      <c r="J14" s="36">
        <v>6.01</v>
      </c>
      <c r="K14" s="39"/>
    </row>
    <row r="15" spans="1:39" s="64" customFormat="1" ht="16.5" thickBot="1" x14ac:dyDescent="0.3">
      <c r="A15" s="80">
        <v>45463</v>
      </c>
      <c r="B15" s="62">
        <v>1.5549999999999999</v>
      </c>
      <c r="C15" s="60">
        <v>3.01</v>
      </c>
      <c r="D15" s="60">
        <v>3.02</v>
      </c>
      <c r="E15" s="60">
        <v>1.87</v>
      </c>
      <c r="F15" s="60">
        <v>2.5449999999999999</v>
      </c>
      <c r="G15" s="60">
        <v>2.5449999999999999</v>
      </c>
      <c r="H15" s="60">
        <v>1.55</v>
      </c>
      <c r="I15" s="60">
        <v>6.0049999999999999</v>
      </c>
      <c r="J15" s="60">
        <v>6.0049999999999999</v>
      </c>
      <c r="K15" s="63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ht="16.5" thickBot="1" x14ac:dyDescent="0.3">
      <c r="A16" s="78">
        <v>45464</v>
      </c>
      <c r="B16" s="55">
        <v>1.57</v>
      </c>
      <c r="C16" s="56">
        <v>3.0049999999999999</v>
      </c>
      <c r="D16" s="56">
        <v>3.02</v>
      </c>
      <c r="E16" s="56">
        <v>1.875</v>
      </c>
      <c r="F16" s="56">
        <v>2.5649999999999999</v>
      </c>
      <c r="G16" s="56">
        <v>2.56</v>
      </c>
      <c r="H16" s="56">
        <v>1.56</v>
      </c>
      <c r="I16" s="56">
        <v>6.02</v>
      </c>
      <c r="J16" s="56">
        <v>6</v>
      </c>
      <c r="K16" s="57"/>
    </row>
    <row r="17" spans="1:39" s="64" customFormat="1" ht="15.75" x14ac:dyDescent="0.25">
      <c r="A17" s="80">
        <v>45467</v>
      </c>
      <c r="B17" s="66">
        <v>1.5549999999999999</v>
      </c>
      <c r="C17" s="67">
        <v>3.0249999999999999</v>
      </c>
      <c r="D17" s="67">
        <v>3.0150000000000001</v>
      </c>
      <c r="E17" s="67">
        <v>1.87</v>
      </c>
      <c r="F17" s="67">
        <v>2.5499999999999998</v>
      </c>
      <c r="G17" s="67">
        <v>2.5550000000000002</v>
      </c>
      <c r="H17" s="67">
        <v>1.5549999999999999</v>
      </c>
      <c r="I17" s="67">
        <v>6.01</v>
      </c>
      <c r="J17" s="67">
        <v>6.01</v>
      </c>
      <c r="K17" s="68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ht="15.75" x14ac:dyDescent="0.25">
      <c r="A18" s="30">
        <v>45468</v>
      </c>
      <c r="B18" s="55">
        <v>1.57</v>
      </c>
      <c r="C18" s="56">
        <v>3.02</v>
      </c>
      <c r="D18" s="56">
        <v>3.02</v>
      </c>
      <c r="E18" s="56">
        <v>1.85</v>
      </c>
      <c r="F18" s="56">
        <v>2.56</v>
      </c>
      <c r="G18" s="56">
        <v>2.56</v>
      </c>
      <c r="H18" s="56">
        <v>1.56</v>
      </c>
      <c r="I18" s="56">
        <v>6.0149999999999997</v>
      </c>
      <c r="J18" s="56">
        <v>6.0049999999999999</v>
      </c>
      <c r="K18" s="57"/>
    </row>
    <row r="19" spans="1:39" s="64" customFormat="1" ht="15.75" x14ac:dyDescent="0.25">
      <c r="A19" s="29">
        <v>45469</v>
      </c>
      <c r="B19" s="66">
        <v>1.575</v>
      </c>
      <c r="C19" s="67">
        <v>3.0249999999999999</v>
      </c>
      <c r="D19" s="67">
        <v>3.01</v>
      </c>
      <c r="E19" s="67">
        <v>1.855</v>
      </c>
      <c r="F19" s="67">
        <v>2.56</v>
      </c>
      <c r="G19" s="67">
        <v>2.57</v>
      </c>
      <c r="H19" s="67">
        <v>1.56</v>
      </c>
      <c r="I19" s="67">
        <v>6.02</v>
      </c>
      <c r="J19" s="67">
        <v>6.0149999999999997</v>
      </c>
      <c r="K19" s="68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ht="15.75" x14ac:dyDescent="0.25">
      <c r="A20" s="30">
        <v>45470</v>
      </c>
      <c r="B20" s="55">
        <v>1.56</v>
      </c>
      <c r="C20" s="56">
        <v>3.0249999999999999</v>
      </c>
      <c r="D20" s="56">
        <v>3.0249999999999999</v>
      </c>
      <c r="E20" s="56">
        <v>1.865</v>
      </c>
      <c r="F20" s="56">
        <v>2.5550000000000002</v>
      </c>
      <c r="G20" s="56">
        <v>2.5550000000000002</v>
      </c>
      <c r="H20" s="56">
        <v>1.56</v>
      </c>
      <c r="I20" s="56">
        <v>9.8000000000000007</v>
      </c>
      <c r="J20" s="56">
        <v>6</v>
      </c>
      <c r="K20" s="57"/>
    </row>
    <row r="21" spans="1:39" s="64" customFormat="1" ht="15.75" x14ac:dyDescent="0.25">
      <c r="A21" s="29">
        <v>45471</v>
      </c>
      <c r="B21" s="66">
        <v>1.5649999999999999</v>
      </c>
      <c r="C21" s="67">
        <v>3.0150000000000001</v>
      </c>
      <c r="D21" s="67">
        <v>3.02</v>
      </c>
      <c r="E21" s="67">
        <v>1.87</v>
      </c>
      <c r="F21" s="67">
        <v>2.57</v>
      </c>
      <c r="G21" s="67">
        <v>2.5449999999999999</v>
      </c>
      <c r="H21" s="67">
        <v>1.55</v>
      </c>
      <c r="I21" s="67">
        <v>6.01</v>
      </c>
      <c r="J21" s="67">
        <v>6.0149999999999997</v>
      </c>
      <c r="K21" s="68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ht="15.75" x14ac:dyDescent="0.25">
      <c r="A22" s="30"/>
      <c r="B22" s="55"/>
      <c r="C22" s="56"/>
      <c r="D22" s="56"/>
      <c r="E22" s="56"/>
      <c r="F22" s="56"/>
      <c r="G22" s="56"/>
      <c r="H22" s="56"/>
      <c r="I22" s="56"/>
      <c r="J22" s="56"/>
      <c r="K22" s="57"/>
    </row>
    <row r="23" spans="1:39" s="64" customFormat="1" ht="15.75" x14ac:dyDescent="0.25">
      <c r="A23" s="29"/>
      <c r="B23" s="66"/>
      <c r="C23" s="67"/>
      <c r="D23" s="67"/>
      <c r="E23" s="67"/>
      <c r="F23" s="67"/>
      <c r="G23" s="67"/>
      <c r="H23" s="67"/>
      <c r="I23" s="67"/>
      <c r="J23" s="67"/>
      <c r="K23" s="68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ht="15.75" x14ac:dyDescent="0.25">
      <c r="A24" s="30"/>
      <c r="B24" s="55"/>
      <c r="C24" s="56"/>
      <c r="D24" s="56"/>
      <c r="E24" s="56"/>
      <c r="F24" s="56"/>
      <c r="G24" s="56"/>
      <c r="H24" s="56"/>
      <c r="I24" s="56"/>
      <c r="J24" s="56"/>
      <c r="K24" s="57"/>
    </row>
    <row r="25" spans="1:39" s="64" customFormat="1" ht="15.75" x14ac:dyDescent="0.25">
      <c r="A25" s="29"/>
      <c r="B25" s="66"/>
      <c r="C25" s="67"/>
      <c r="D25" s="67"/>
      <c r="E25" s="67"/>
      <c r="F25" s="67"/>
      <c r="G25" s="67"/>
      <c r="H25" s="67"/>
      <c r="I25" s="67"/>
      <c r="J25" s="67"/>
      <c r="K25" s="68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ht="15.75" x14ac:dyDescent="0.25">
      <c r="A26" s="30"/>
      <c r="B26" s="55"/>
      <c r="C26" s="56"/>
      <c r="D26" s="56"/>
      <c r="E26" s="56"/>
      <c r="F26" s="56"/>
      <c r="G26" s="56"/>
      <c r="H26" s="56"/>
      <c r="I26" s="56"/>
      <c r="J26" s="56"/>
      <c r="K26" s="57"/>
    </row>
    <row r="27" spans="1:39" s="64" customFormat="1" ht="16.5" thickBot="1" x14ac:dyDescent="0.3">
      <c r="A27" s="79"/>
      <c r="B27" s="69"/>
      <c r="C27" s="70"/>
      <c r="D27" s="70"/>
      <c r="E27" s="70"/>
      <c r="F27" s="70"/>
      <c r="G27" s="70"/>
      <c r="H27" s="70"/>
      <c r="I27" s="70"/>
      <c r="J27" s="70"/>
      <c r="K27" s="71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ht="19.5" thickBot="1" x14ac:dyDescent="0.3">
      <c r="B28" s="5">
        <f t="shared" ref="B28:J28" si="0">SUM(B2:B27)</f>
        <v>31.26</v>
      </c>
      <c r="C28" s="5">
        <f t="shared" si="0"/>
        <v>60.34</v>
      </c>
      <c r="D28" s="5">
        <f t="shared" si="0"/>
        <v>60.400000000000013</v>
      </c>
      <c r="E28" s="5">
        <f t="shared" si="0"/>
        <v>37.335000000000001</v>
      </c>
      <c r="F28" s="5">
        <f t="shared" si="0"/>
        <v>51.17</v>
      </c>
      <c r="G28" s="5">
        <f t="shared" si="0"/>
        <v>51.125000000000007</v>
      </c>
      <c r="H28" s="5">
        <f t="shared" si="0"/>
        <v>31.109999999999996</v>
      </c>
      <c r="I28" s="5">
        <f t="shared" si="0"/>
        <v>127.83999999999999</v>
      </c>
      <c r="J28" s="5">
        <f t="shared" si="0"/>
        <v>134.065</v>
      </c>
      <c r="K28" s="5">
        <f t="shared" ref="K28" si="1">SUM(K4:K27)</f>
        <v>0</v>
      </c>
    </row>
    <row r="29" spans="1:39" ht="15.75" thickBot="1" x14ac:dyDescent="0.3">
      <c r="B29" s="2" t="s">
        <v>0</v>
      </c>
      <c r="C29" s="3" t="s">
        <v>1</v>
      </c>
      <c r="D29" s="2" t="s">
        <v>2</v>
      </c>
      <c r="E29" s="2" t="s">
        <v>25</v>
      </c>
      <c r="F29" s="4" t="s">
        <v>3</v>
      </c>
      <c r="G29" s="2" t="s">
        <v>4</v>
      </c>
      <c r="H29" s="4" t="s">
        <v>5</v>
      </c>
      <c r="I29" s="2" t="s">
        <v>6</v>
      </c>
      <c r="J29" s="4" t="s">
        <v>7</v>
      </c>
      <c r="K29" s="2"/>
    </row>
    <row r="30" spans="1:39" ht="15.75" thickBot="1" x14ac:dyDescent="0.3"/>
    <row r="31" spans="1:39" ht="18.75" x14ac:dyDescent="0.3">
      <c r="B31" s="87" t="s">
        <v>8</v>
      </c>
      <c r="C31" s="88"/>
      <c r="D31" s="88"/>
      <c r="E31" s="88"/>
      <c r="F31" s="87" t="s">
        <v>9</v>
      </c>
      <c r="G31" s="89"/>
      <c r="H31" s="88" t="s">
        <v>10</v>
      </c>
      <c r="I31" s="88"/>
      <c r="J31" s="89"/>
      <c r="K31" s="16"/>
    </row>
    <row r="32" spans="1:39" x14ac:dyDescent="0.25">
      <c r="B32" s="90">
        <f>B28+C28+D28+E28</f>
        <v>189.33500000000004</v>
      </c>
      <c r="C32" s="91"/>
      <c r="D32" s="91"/>
      <c r="E32" s="91"/>
      <c r="F32" s="90">
        <f>F28+G28</f>
        <v>102.29500000000002</v>
      </c>
      <c r="G32" s="94"/>
      <c r="H32" s="96">
        <f>H28+I28+J28</f>
        <v>293.01499999999999</v>
      </c>
      <c r="I32" s="91"/>
      <c r="J32" s="94"/>
      <c r="K32" s="97">
        <f>B32+F32+H32</f>
        <v>584.64499999999998</v>
      </c>
    </row>
    <row r="33" spans="2:11" ht="15.75" thickBot="1" x14ac:dyDescent="0.3">
      <c r="B33" s="92"/>
      <c r="C33" s="93"/>
      <c r="D33" s="93"/>
      <c r="E33" s="93"/>
      <c r="F33" s="92"/>
      <c r="G33" s="95"/>
      <c r="H33" s="93"/>
      <c r="I33" s="93"/>
      <c r="J33" s="95"/>
      <c r="K33" s="98"/>
    </row>
    <row r="37" spans="2:11" ht="15.75" x14ac:dyDescent="0.25">
      <c r="H37" s="46"/>
    </row>
    <row r="38" spans="2:11" x14ac:dyDescent="0.25">
      <c r="I38" s="45"/>
    </row>
    <row r="40" spans="2:11" x14ac:dyDescent="0.25">
      <c r="E40" s="45"/>
    </row>
  </sheetData>
  <mergeCells count="8">
    <mergeCell ref="B1:K1"/>
    <mergeCell ref="B31:E31"/>
    <mergeCell ref="F31:G31"/>
    <mergeCell ref="H31:J31"/>
    <mergeCell ref="B32:E33"/>
    <mergeCell ref="F32:G33"/>
    <mergeCell ref="H32:J33"/>
    <mergeCell ref="K32:K3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43AB5-43AC-475B-8513-D7EFD26200E6}">
  <dimension ref="A1:AM40"/>
  <sheetViews>
    <sheetView zoomScale="118" zoomScaleNormal="118" workbookViewId="0">
      <selection activeCell="N28" sqref="N28"/>
    </sheetView>
  </sheetViews>
  <sheetFormatPr defaultColWidth="10.7109375" defaultRowHeight="15" x14ac:dyDescent="0.25"/>
  <cols>
    <col min="1" max="1" width="15.140625" customWidth="1"/>
    <col min="2" max="2" width="12" bestFit="1" customWidth="1"/>
  </cols>
  <sheetData>
    <row r="1" spans="1:39" ht="33" customHeight="1" thickBot="1" x14ac:dyDescent="0.3">
      <c r="A1" s="44" t="s">
        <v>14</v>
      </c>
      <c r="B1" s="84" t="s">
        <v>29</v>
      </c>
      <c r="C1" s="85"/>
      <c r="D1" s="85"/>
      <c r="E1" s="85"/>
      <c r="F1" s="85"/>
      <c r="G1" s="85"/>
      <c r="H1" s="85"/>
      <c r="I1" s="85"/>
      <c r="J1" s="85"/>
      <c r="K1" s="86"/>
    </row>
    <row r="2" spans="1:39" ht="16.5" thickBot="1" x14ac:dyDescent="0.3">
      <c r="A2" s="78">
        <v>45474</v>
      </c>
      <c r="B2" s="31">
        <v>1.56</v>
      </c>
      <c r="C2" s="32">
        <v>3.02</v>
      </c>
      <c r="D2" s="32">
        <v>3.03</v>
      </c>
      <c r="E2" s="32">
        <v>1.88</v>
      </c>
      <c r="F2" s="32">
        <v>2.56</v>
      </c>
      <c r="G2" s="32">
        <v>2.5649999999999999</v>
      </c>
      <c r="H2" s="32">
        <v>1.56</v>
      </c>
      <c r="I2" s="32">
        <v>6.01</v>
      </c>
      <c r="J2" s="32">
        <v>6.0049999999999999</v>
      </c>
      <c r="K2" s="33"/>
    </row>
    <row r="3" spans="1:39" ht="16.5" thickBot="1" x14ac:dyDescent="0.3">
      <c r="A3" s="80">
        <v>45475</v>
      </c>
      <c r="B3" s="76">
        <v>1.56</v>
      </c>
      <c r="C3" s="25">
        <v>3.01</v>
      </c>
      <c r="D3" s="25">
        <v>3.0350000000000001</v>
      </c>
      <c r="E3" s="25">
        <v>1.865</v>
      </c>
      <c r="F3" s="25">
        <v>2.5649999999999999</v>
      </c>
      <c r="G3" s="25">
        <v>2.57</v>
      </c>
      <c r="H3" s="25">
        <v>1.55</v>
      </c>
      <c r="I3" s="25">
        <v>6.0149999999999997</v>
      </c>
      <c r="J3" s="25">
        <v>13.275</v>
      </c>
      <c r="K3" s="26"/>
    </row>
    <row r="4" spans="1:39" ht="16.5" thickBot="1" x14ac:dyDescent="0.3">
      <c r="A4" s="78">
        <v>45476</v>
      </c>
      <c r="B4" s="77">
        <v>1.55</v>
      </c>
      <c r="C4" s="36">
        <v>3.01</v>
      </c>
      <c r="D4" s="36">
        <v>3.02</v>
      </c>
      <c r="E4" s="36">
        <v>1.87</v>
      </c>
      <c r="F4" s="36">
        <v>2.5550000000000002</v>
      </c>
      <c r="G4" s="36">
        <v>2.5550000000000002</v>
      </c>
      <c r="H4" s="36">
        <v>1.5649999999999999</v>
      </c>
      <c r="I4" s="36">
        <v>6.0049999999999999</v>
      </c>
      <c r="J4" s="36">
        <v>6</v>
      </c>
      <c r="K4" s="37"/>
    </row>
    <row r="5" spans="1:39" ht="16.5" thickBot="1" x14ac:dyDescent="0.3">
      <c r="A5" s="80">
        <v>45477</v>
      </c>
      <c r="B5" s="76">
        <v>1.5549999999999999</v>
      </c>
      <c r="C5" s="25">
        <v>3.0150000000000001</v>
      </c>
      <c r="D5" s="25">
        <v>3.0150000000000001</v>
      </c>
      <c r="E5" s="25">
        <v>1.87</v>
      </c>
      <c r="F5" s="25">
        <v>2.56</v>
      </c>
      <c r="G5" s="25">
        <v>2.57</v>
      </c>
      <c r="H5" s="25">
        <v>1.55</v>
      </c>
      <c r="I5" s="25">
        <v>6.0149999999999997</v>
      </c>
      <c r="J5" s="25">
        <v>6.02</v>
      </c>
      <c r="K5" s="26"/>
    </row>
    <row r="6" spans="1:39" ht="16.5" thickBot="1" x14ac:dyDescent="0.3">
      <c r="A6" s="78">
        <v>45478</v>
      </c>
      <c r="B6" s="35">
        <v>1.57</v>
      </c>
      <c r="C6" s="36">
        <v>3.01</v>
      </c>
      <c r="D6" s="36">
        <v>3.03</v>
      </c>
      <c r="E6" s="36">
        <v>1.86</v>
      </c>
      <c r="F6" s="36">
        <v>2.5649999999999999</v>
      </c>
      <c r="G6" s="36">
        <v>2.5649999999999999</v>
      </c>
      <c r="H6" s="36">
        <v>1.5549999999999999</v>
      </c>
      <c r="I6" s="36">
        <v>6.01</v>
      </c>
      <c r="J6" s="36">
        <v>6.01</v>
      </c>
      <c r="K6" s="37"/>
    </row>
    <row r="7" spans="1:39" ht="16.5" thickBot="1" x14ac:dyDescent="0.3">
      <c r="A7" s="80">
        <v>45481</v>
      </c>
      <c r="B7" s="59">
        <v>1.57</v>
      </c>
      <c r="C7" s="60">
        <v>3.02</v>
      </c>
      <c r="D7" s="60">
        <v>3.01</v>
      </c>
      <c r="E7" s="60">
        <v>1.85</v>
      </c>
      <c r="F7" s="60">
        <v>2.56</v>
      </c>
      <c r="G7" s="60">
        <v>2.5550000000000002</v>
      </c>
      <c r="H7" s="60">
        <v>1.56</v>
      </c>
      <c r="I7" s="60">
        <v>6.0149999999999997</v>
      </c>
      <c r="J7" s="60">
        <v>6.01</v>
      </c>
      <c r="K7" s="61"/>
    </row>
    <row r="8" spans="1:39" ht="16.5" thickBot="1" x14ac:dyDescent="0.3">
      <c r="A8" s="78">
        <v>45482</v>
      </c>
      <c r="B8" s="38">
        <v>1.5549999999999999</v>
      </c>
      <c r="C8" s="36">
        <v>3.01</v>
      </c>
      <c r="D8" s="36">
        <v>3.0249999999999999</v>
      </c>
      <c r="E8" s="36">
        <v>1.865</v>
      </c>
      <c r="F8" s="36">
        <v>2.5649999999999999</v>
      </c>
      <c r="G8" s="36">
        <v>2.56</v>
      </c>
      <c r="H8" s="36">
        <v>1.57</v>
      </c>
      <c r="I8" s="36">
        <v>5.51</v>
      </c>
      <c r="J8" s="36">
        <v>4.0049999999999999</v>
      </c>
      <c r="K8" s="39"/>
    </row>
    <row r="9" spans="1:39" ht="16.5" thickBot="1" x14ac:dyDescent="0.3">
      <c r="A9" s="80">
        <v>45483</v>
      </c>
      <c r="B9" s="62">
        <v>1.56</v>
      </c>
      <c r="C9" s="60">
        <v>3.0150000000000001</v>
      </c>
      <c r="D9" s="60">
        <v>3.0150000000000001</v>
      </c>
      <c r="E9" s="60">
        <v>1.86</v>
      </c>
      <c r="F9" s="60">
        <v>2.57</v>
      </c>
      <c r="G9" s="60">
        <v>2.5550000000000002</v>
      </c>
      <c r="H9" s="60">
        <v>1.5549999999999999</v>
      </c>
      <c r="I9" s="60">
        <v>5.52</v>
      </c>
      <c r="J9" s="60">
        <v>10.27</v>
      </c>
      <c r="K9" s="63"/>
    </row>
    <row r="10" spans="1:39" ht="16.5" thickBot="1" x14ac:dyDescent="0.3">
      <c r="A10" s="78">
        <v>45484</v>
      </c>
      <c r="B10" s="38">
        <v>1.55</v>
      </c>
      <c r="C10" s="36">
        <v>3.02</v>
      </c>
      <c r="D10" s="36">
        <v>3.02</v>
      </c>
      <c r="E10" s="36">
        <v>1.88</v>
      </c>
      <c r="F10" s="36">
        <v>1.28</v>
      </c>
      <c r="G10" s="36">
        <v>1.26</v>
      </c>
      <c r="H10" s="36">
        <v>0.87</v>
      </c>
      <c r="I10" s="36">
        <v>3.0049999999999999</v>
      </c>
      <c r="J10" s="36">
        <v>4.03</v>
      </c>
      <c r="K10" s="39"/>
    </row>
    <row r="11" spans="1:39" ht="16.5" thickBot="1" x14ac:dyDescent="0.3">
      <c r="A11" s="80">
        <v>45485</v>
      </c>
      <c r="B11" s="62">
        <v>1.5649999999999999</v>
      </c>
      <c r="C11" s="60">
        <v>3.01</v>
      </c>
      <c r="D11" s="60">
        <v>3.0049999999999999</v>
      </c>
      <c r="E11" s="60">
        <v>1.86</v>
      </c>
      <c r="F11" s="60">
        <v>1.2749999999999999</v>
      </c>
      <c r="G11" s="60">
        <v>1.2649999999999999</v>
      </c>
      <c r="H11" s="60">
        <v>0.875</v>
      </c>
      <c r="I11" s="60">
        <v>3.0150000000000001</v>
      </c>
      <c r="J11" s="60">
        <v>6.02</v>
      </c>
      <c r="K11" s="63"/>
    </row>
    <row r="12" spans="1:39" ht="16.5" thickBot="1" x14ac:dyDescent="0.3">
      <c r="A12" s="78">
        <v>45488</v>
      </c>
      <c r="B12" s="38">
        <v>1.57</v>
      </c>
      <c r="C12" s="36">
        <v>2.0099999999999998</v>
      </c>
      <c r="D12" s="36">
        <v>3.0049999999999999</v>
      </c>
      <c r="E12" s="36">
        <v>1.86</v>
      </c>
      <c r="F12" s="36"/>
      <c r="G12" s="36"/>
      <c r="H12" s="36"/>
      <c r="I12" s="36"/>
      <c r="J12" s="36"/>
      <c r="K12" s="39"/>
    </row>
    <row r="13" spans="1:39" s="64" customFormat="1" ht="16.5" thickBot="1" x14ac:dyDescent="0.3">
      <c r="A13" s="80">
        <v>45489</v>
      </c>
      <c r="B13" s="62">
        <v>1.5649999999999999</v>
      </c>
      <c r="C13" s="60">
        <v>2.0150000000000001</v>
      </c>
      <c r="D13" s="60">
        <v>3.01</v>
      </c>
      <c r="E13" s="60">
        <v>1.86</v>
      </c>
      <c r="F13" s="60"/>
      <c r="G13" s="60"/>
      <c r="H13" s="60"/>
      <c r="I13" s="60"/>
      <c r="J13" s="60"/>
      <c r="K13" s="6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ht="16.5" thickBot="1" x14ac:dyDescent="0.3">
      <c r="A14" s="78">
        <v>45490</v>
      </c>
      <c r="B14" s="38">
        <v>1.57</v>
      </c>
      <c r="C14" s="36">
        <v>2.0099999999999998</v>
      </c>
      <c r="D14" s="36">
        <v>3</v>
      </c>
      <c r="E14" s="36">
        <v>1.875</v>
      </c>
      <c r="F14" s="36"/>
      <c r="G14" s="36"/>
      <c r="H14" s="36"/>
      <c r="I14" s="36"/>
      <c r="J14" s="36"/>
      <c r="K14" s="39"/>
    </row>
    <row r="15" spans="1:39" s="64" customFormat="1" ht="16.5" thickBot="1" x14ac:dyDescent="0.3">
      <c r="A15" s="80">
        <v>45491</v>
      </c>
      <c r="B15" s="62"/>
      <c r="C15" s="60">
        <v>2.0049999999999999</v>
      </c>
      <c r="D15" s="60">
        <v>1.2649999999999999</v>
      </c>
      <c r="E15" s="60">
        <v>0.76500000000000001</v>
      </c>
      <c r="F15" s="60"/>
      <c r="G15" s="60"/>
      <c r="H15" s="60"/>
      <c r="I15" s="60"/>
      <c r="J15" s="60"/>
      <c r="K15" s="63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ht="16.5" thickBot="1" x14ac:dyDescent="0.3">
      <c r="A16" s="78">
        <v>45492</v>
      </c>
      <c r="B16" s="55"/>
      <c r="C16" s="56">
        <v>2.02</v>
      </c>
      <c r="D16" s="56">
        <v>1.25</v>
      </c>
      <c r="E16" s="56">
        <v>0.78</v>
      </c>
      <c r="F16" s="56"/>
      <c r="G16" s="56"/>
      <c r="H16" s="56"/>
      <c r="I16" s="56"/>
      <c r="J16" s="56"/>
      <c r="K16" s="57"/>
    </row>
    <row r="17" spans="1:39" s="64" customFormat="1" ht="15.75" x14ac:dyDescent="0.25">
      <c r="A17" s="80">
        <v>45495</v>
      </c>
      <c r="B17" s="66"/>
      <c r="C17" s="67">
        <v>2.0150000000000001</v>
      </c>
      <c r="D17" s="67">
        <v>1.2949999999999999</v>
      </c>
      <c r="E17" s="67">
        <v>0.78500000000000003</v>
      </c>
      <c r="F17" s="67"/>
      <c r="G17" s="67"/>
      <c r="H17" s="67"/>
      <c r="I17" s="67"/>
      <c r="J17" s="67"/>
      <c r="K17" s="68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ht="15.75" x14ac:dyDescent="0.25">
      <c r="A18" s="30">
        <v>45496</v>
      </c>
      <c r="B18" s="55"/>
      <c r="C18" s="56">
        <v>2.0049999999999999</v>
      </c>
      <c r="D18" s="56">
        <v>1.25</v>
      </c>
      <c r="E18" s="56">
        <v>0.79</v>
      </c>
      <c r="F18" s="56"/>
      <c r="G18" s="56"/>
      <c r="H18" s="56"/>
      <c r="I18" s="56"/>
      <c r="J18" s="56"/>
      <c r="K18" s="57"/>
    </row>
    <row r="19" spans="1:39" s="64" customFormat="1" ht="15.75" x14ac:dyDescent="0.25">
      <c r="A19" s="29">
        <v>45497</v>
      </c>
      <c r="B19" s="66"/>
      <c r="C19" s="67">
        <v>1.26</v>
      </c>
      <c r="D19" s="67">
        <v>1.2649999999999999</v>
      </c>
      <c r="E19" s="67">
        <v>0.77</v>
      </c>
      <c r="F19" s="67"/>
      <c r="G19" s="67"/>
      <c r="H19" s="67"/>
      <c r="I19" s="67"/>
      <c r="J19" s="67"/>
      <c r="K19" s="68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ht="15.75" x14ac:dyDescent="0.25">
      <c r="A20" s="30">
        <v>45498</v>
      </c>
      <c r="B20" s="55"/>
      <c r="C20" s="56">
        <v>1.2649999999999999</v>
      </c>
      <c r="D20" s="56">
        <v>1.26</v>
      </c>
      <c r="E20" s="56">
        <v>0.76</v>
      </c>
      <c r="F20" s="56"/>
      <c r="G20" s="56"/>
      <c r="H20" s="56"/>
      <c r="I20" s="56"/>
      <c r="J20" s="56"/>
      <c r="K20" s="57"/>
    </row>
    <row r="21" spans="1:39" s="64" customFormat="1" ht="15.75" x14ac:dyDescent="0.25">
      <c r="A21" s="29">
        <v>45499</v>
      </c>
      <c r="B21" s="66"/>
      <c r="C21" s="67">
        <v>1.2549999999999999</v>
      </c>
      <c r="D21" s="67">
        <v>1.2549999999999999</v>
      </c>
      <c r="E21" s="67">
        <v>0.75</v>
      </c>
      <c r="F21" s="67"/>
      <c r="G21" s="67"/>
      <c r="H21" s="67"/>
      <c r="I21" s="67"/>
      <c r="J21" s="67"/>
      <c r="K21" s="68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ht="15.75" x14ac:dyDescent="0.25">
      <c r="A22" s="30">
        <v>45502</v>
      </c>
      <c r="B22" s="55"/>
      <c r="C22" s="56">
        <v>1.26</v>
      </c>
      <c r="D22" s="56">
        <v>1.25</v>
      </c>
      <c r="E22" s="56">
        <v>0.77</v>
      </c>
      <c r="F22" s="56"/>
      <c r="G22" s="56"/>
      <c r="H22" s="56"/>
      <c r="I22" s="56"/>
      <c r="J22" s="56"/>
      <c r="K22" s="57"/>
    </row>
    <row r="23" spans="1:39" s="64" customFormat="1" ht="15.75" x14ac:dyDescent="0.25">
      <c r="A23" s="29">
        <v>45503</v>
      </c>
      <c r="B23" s="66"/>
      <c r="C23" s="67"/>
      <c r="D23" s="67"/>
      <c r="E23" s="67"/>
      <c r="F23" s="67"/>
      <c r="G23" s="67"/>
      <c r="H23" s="67"/>
      <c r="I23" s="67"/>
      <c r="J23" s="67"/>
      <c r="K23" s="68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ht="15.75" x14ac:dyDescent="0.25">
      <c r="A24" s="30">
        <v>45504</v>
      </c>
      <c r="B24" s="55"/>
      <c r="C24" s="56"/>
      <c r="D24" s="56"/>
      <c r="E24" s="56"/>
      <c r="F24" s="56"/>
      <c r="G24" s="56"/>
      <c r="H24" s="56"/>
      <c r="I24" s="56"/>
      <c r="J24" s="56"/>
      <c r="K24" s="57"/>
    </row>
    <row r="25" spans="1:39" s="64" customFormat="1" ht="15.75" x14ac:dyDescent="0.25">
      <c r="A25" s="29"/>
      <c r="B25" s="66"/>
      <c r="C25" s="67"/>
      <c r="D25" s="67"/>
      <c r="E25" s="67"/>
      <c r="F25" s="67"/>
      <c r="G25" s="67"/>
      <c r="H25" s="67"/>
      <c r="I25" s="67"/>
      <c r="J25" s="67"/>
      <c r="K25" s="68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ht="15.75" x14ac:dyDescent="0.25">
      <c r="A26" s="30"/>
      <c r="B26" s="55"/>
      <c r="C26" s="56"/>
      <c r="D26" s="56"/>
      <c r="E26" s="56"/>
      <c r="F26" s="56"/>
      <c r="G26" s="56"/>
      <c r="H26" s="56"/>
      <c r="I26" s="56"/>
      <c r="J26" s="56"/>
      <c r="K26" s="57"/>
    </row>
    <row r="27" spans="1:39" s="64" customFormat="1" ht="16.5" thickBot="1" x14ac:dyDescent="0.3">
      <c r="A27" s="79"/>
      <c r="B27" s="69"/>
      <c r="C27" s="70"/>
      <c r="D27" s="70"/>
      <c r="E27" s="70"/>
      <c r="F27" s="70"/>
      <c r="G27" s="70"/>
      <c r="H27" s="70"/>
      <c r="I27" s="70"/>
      <c r="J27" s="70"/>
      <c r="K27" s="71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ht="19.5" thickBot="1" x14ac:dyDescent="0.3">
      <c r="B28" s="5">
        <f t="shared" ref="B28:J28" si="0">SUM(B2:B27)</f>
        <v>20.3</v>
      </c>
      <c r="C28" s="5">
        <f t="shared" si="0"/>
        <v>49.260000000000005</v>
      </c>
      <c r="D28" s="5">
        <f t="shared" si="0"/>
        <v>49.31</v>
      </c>
      <c r="E28" s="5">
        <f t="shared" si="0"/>
        <v>30.425000000000001</v>
      </c>
      <c r="F28" s="5">
        <f t="shared" si="0"/>
        <v>23.055</v>
      </c>
      <c r="G28" s="5">
        <f t="shared" si="0"/>
        <v>23.02</v>
      </c>
      <c r="H28" s="5">
        <f t="shared" si="0"/>
        <v>14.209999999999999</v>
      </c>
      <c r="I28" s="5">
        <f t="shared" si="0"/>
        <v>53.12</v>
      </c>
      <c r="J28" s="5">
        <f t="shared" si="0"/>
        <v>67.644999999999996</v>
      </c>
      <c r="K28" s="5">
        <f t="shared" ref="K28" si="1">SUM(K4:K27)</f>
        <v>0</v>
      </c>
    </row>
    <row r="29" spans="1:39" ht="15.75" thickBot="1" x14ac:dyDescent="0.3">
      <c r="B29" s="2" t="s">
        <v>0</v>
      </c>
      <c r="C29" s="3" t="s">
        <v>1</v>
      </c>
      <c r="D29" s="2" t="s">
        <v>2</v>
      </c>
      <c r="E29" s="2" t="s">
        <v>25</v>
      </c>
      <c r="F29" s="4" t="s">
        <v>3</v>
      </c>
      <c r="G29" s="2" t="s">
        <v>4</v>
      </c>
      <c r="H29" s="4" t="s">
        <v>5</v>
      </c>
      <c r="I29" s="2" t="s">
        <v>6</v>
      </c>
      <c r="J29" s="4" t="s">
        <v>7</v>
      </c>
      <c r="K29" s="2"/>
    </row>
    <row r="30" spans="1:39" ht="15.75" thickBot="1" x14ac:dyDescent="0.3"/>
    <row r="31" spans="1:39" ht="18.75" x14ac:dyDescent="0.3">
      <c r="B31" s="87" t="s">
        <v>8</v>
      </c>
      <c r="C31" s="88"/>
      <c r="D31" s="88"/>
      <c r="E31" s="88"/>
      <c r="F31" s="87" t="s">
        <v>9</v>
      </c>
      <c r="G31" s="89"/>
      <c r="H31" s="88" t="s">
        <v>10</v>
      </c>
      <c r="I31" s="88"/>
      <c r="J31" s="89"/>
      <c r="K31" s="16"/>
    </row>
    <row r="32" spans="1:39" x14ac:dyDescent="0.25">
      <c r="B32" s="90">
        <f>B28+C28+D28+E28</f>
        <v>149.29500000000002</v>
      </c>
      <c r="C32" s="91"/>
      <c r="D32" s="91"/>
      <c r="E32" s="91"/>
      <c r="F32" s="90">
        <f>F28+G28</f>
        <v>46.075000000000003</v>
      </c>
      <c r="G32" s="94"/>
      <c r="H32" s="96">
        <f>H28+I28+J28</f>
        <v>134.97499999999999</v>
      </c>
      <c r="I32" s="91"/>
      <c r="J32" s="94"/>
      <c r="K32" s="97">
        <f>B32+F32+H32</f>
        <v>330.34500000000003</v>
      </c>
    </row>
    <row r="33" spans="2:11" ht="15.75" thickBot="1" x14ac:dyDescent="0.3">
      <c r="B33" s="92"/>
      <c r="C33" s="93"/>
      <c r="D33" s="93"/>
      <c r="E33" s="93"/>
      <c r="F33" s="92"/>
      <c r="G33" s="95"/>
      <c r="H33" s="93"/>
      <c r="I33" s="93"/>
      <c r="J33" s="95"/>
      <c r="K33" s="98"/>
    </row>
    <row r="37" spans="2:11" ht="15.75" x14ac:dyDescent="0.25">
      <c r="H37" s="46"/>
    </row>
    <row r="38" spans="2:11" x14ac:dyDescent="0.25">
      <c r="I38" s="45"/>
    </row>
    <row r="40" spans="2:11" x14ac:dyDescent="0.25">
      <c r="E40" s="45"/>
    </row>
  </sheetData>
  <mergeCells count="8">
    <mergeCell ref="B1:K1"/>
    <mergeCell ref="B31:E31"/>
    <mergeCell ref="F31:G31"/>
    <mergeCell ref="H31:J31"/>
    <mergeCell ref="B32:E33"/>
    <mergeCell ref="F32:G33"/>
    <mergeCell ref="H32:J33"/>
    <mergeCell ref="K32:K33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D5CB3-8C10-450C-ACD2-6272FCE33AEE}">
  <dimension ref="A1:AM40"/>
  <sheetViews>
    <sheetView zoomScale="118" zoomScaleNormal="118" workbookViewId="0">
      <selection activeCell="B1" sqref="B1:K1"/>
    </sheetView>
  </sheetViews>
  <sheetFormatPr defaultColWidth="10.7109375" defaultRowHeight="15" x14ac:dyDescent="0.25"/>
  <cols>
    <col min="1" max="1" width="15.140625" customWidth="1"/>
    <col min="2" max="2" width="12" bestFit="1" customWidth="1"/>
  </cols>
  <sheetData>
    <row r="1" spans="1:39" ht="33" customHeight="1" thickBot="1" x14ac:dyDescent="0.3">
      <c r="A1" s="44" t="s">
        <v>14</v>
      </c>
      <c r="B1" s="84" t="s">
        <v>32</v>
      </c>
      <c r="C1" s="85"/>
      <c r="D1" s="85"/>
      <c r="E1" s="85"/>
      <c r="F1" s="85"/>
      <c r="G1" s="85"/>
      <c r="H1" s="85"/>
      <c r="I1" s="85"/>
      <c r="J1" s="85"/>
      <c r="K1" s="86"/>
    </row>
    <row r="2" spans="1:39" ht="16.5" thickBot="1" x14ac:dyDescent="0.3">
      <c r="A2" s="78">
        <v>45509</v>
      </c>
      <c r="B2" s="31">
        <v>1.58</v>
      </c>
      <c r="C2" s="32">
        <v>3.03</v>
      </c>
      <c r="D2" s="32">
        <v>3.48</v>
      </c>
      <c r="E2" s="32">
        <v>1.78</v>
      </c>
      <c r="F2" s="32">
        <v>2.5649999999999999</v>
      </c>
      <c r="G2" s="32">
        <v>2.58</v>
      </c>
      <c r="H2" s="32">
        <v>1.58</v>
      </c>
      <c r="I2" s="32">
        <v>6.0350000000000001</v>
      </c>
      <c r="J2" s="32">
        <v>6.04</v>
      </c>
      <c r="K2" s="33"/>
    </row>
    <row r="3" spans="1:39" ht="16.5" thickBot="1" x14ac:dyDescent="0.3">
      <c r="A3" s="80">
        <v>45510</v>
      </c>
      <c r="B3" s="76">
        <v>1.56</v>
      </c>
      <c r="C3" s="25">
        <v>3.0449999999999999</v>
      </c>
      <c r="D3" s="25">
        <v>3.4849999999999999</v>
      </c>
      <c r="E3" s="25">
        <v>1.79</v>
      </c>
      <c r="F3" s="25">
        <v>2.57</v>
      </c>
      <c r="G3" s="25">
        <v>2.5649999999999999</v>
      </c>
      <c r="H3" s="25">
        <v>1.56</v>
      </c>
      <c r="I3" s="25">
        <v>6.0049999999999999</v>
      </c>
      <c r="J3" s="25">
        <v>6.0250000000000004</v>
      </c>
      <c r="K3" s="26"/>
    </row>
    <row r="4" spans="1:39" ht="16.5" thickBot="1" x14ac:dyDescent="0.3">
      <c r="A4" s="78">
        <v>45511</v>
      </c>
      <c r="B4" s="77">
        <v>1.5649999999999999</v>
      </c>
      <c r="C4" s="36">
        <v>3.02</v>
      </c>
      <c r="D4" s="36">
        <v>3.4750000000000001</v>
      </c>
      <c r="E4" s="36">
        <v>1.78</v>
      </c>
      <c r="F4" s="36">
        <v>2.585</v>
      </c>
      <c r="G4" s="36">
        <v>2.56</v>
      </c>
      <c r="H4" s="36">
        <v>1.57</v>
      </c>
      <c r="I4" s="36">
        <v>6.01</v>
      </c>
      <c r="J4" s="36">
        <v>6.0049999999999999</v>
      </c>
      <c r="K4" s="37"/>
    </row>
    <row r="5" spans="1:39" ht="16.5" thickBot="1" x14ac:dyDescent="0.3">
      <c r="A5" s="80">
        <v>45512</v>
      </c>
      <c r="B5" s="76">
        <v>1.585</v>
      </c>
      <c r="C5" s="25">
        <v>3.04</v>
      </c>
      <c r="D5" s="25">
        <v>3.48</v>
      </c>
      <c r="E5" s="25">
        <v>1.78</v>
      </c>
      <c r="F5" s="25">
        <v>2.58</v>
      </c>
      <c r="G5" s="25">
        <v>2.5649999999999999</v>
      </c>
      <c r="H5" s="25">
        <v>1.585</v>
      </c>
      <c r="I5" s="25">
        <v>6.0250000000000004</v>
      </c>
      <c r="J5" s="25">
        <v>6.0350000000000001</v>
      </c>
      <c r="K5" s="26"/>
    </row>
    <row r="6" spans="1:39" ht="16.5" thickBot="1" x14ac:dyDescent="0.3">
      <c r="A6" s="78">
        <v>45513</v>
      </c>
      <c r="B6" s="35">
        <v>1.57</v>
      </c>
      <c r="C6" s="36">
        <v>3.0249999999999999</v>
      </c>
      <c r="D6" s="36">
        <v>3.4950000000000001</v>
      </c>
      <c r="E6" s="36">
        <v>1.7749999999999999</v>
      </c>
      <c r="F6" s="36">
        <v>2.56</v>
      </c>
      <c r="G6" s="36">
        <v>2.58</v>
      </c>
      <c r="H6" s="36">
        <v>1.56</v>
      </c>
      <c r="I6" s="36">
        <v>6.05</v>
      </c>
      <c r="J6" s="36">
        <v>6.05</v>
      </c>
      <c r="K6" s="37"/>
    </row>
    <row r="7" spans="1:39" ht="16.5" thickBot="1" x14ac:dyDescent="0.3">
      <c r="A7" s="80">
        <v>45514</v>
      </c>
      <c r="B7" s="59">
        <v>1.59</v>
      </c>
      <c r="C7" s="60">
        <v>3.03</v>
      </c>
      <c r="D7" s="60">
        <v>3.47</v>
      </c>
      <c r="E7" s="60">
        <v>1.78</v>
      </c>
      <c r="F7" s="60">
        <v>2.5750000000000002</v>
      </c>
      <c r="G7" s="60">
        <v>2.585</v>
      </c>
      <c r="H7" s="60">
        <v>1.5649999999999999</v>
      </c>
      <c r="I7" s="60">
        <v>6.02</v>
      </c>
      <c r="J7" s="60">
        <v>6.01</v>
      </c>
      <c r="K7" s="61"/>
    </row>
    <row r="8" spans="1:39" ht="16.5" thickBot="1" x14ac:dyDescent="0.3">
      <c r="A8" s="78">
        <v>45516</v>
      </c>
      <c r="B8" s="38">
        <v>1.57</v>
      </c>
      <c r="C8" s="36">
        <v>3.0350000000000001</v>
      </c>
      <c r="D8" s="36">
        <v>3.48</v>
      </c>
      <c r="E8" s="36">
        <v>1.7949999999999999</v>
      </c>
      <c r="F8" s="36">
        <v>2.58</v>
      </c>
      <c r="G8" s="36">
        <v>2.57</v>
      </c>
      <c r="H8" s="36">
        <v>1.585</v>
      </c>
      <c r="I8" s="36">
        <v>6.0449999999999999</v>
      </c>
      <c r="J8" s="36">
        <v>6.0250000000000004</v>
      </c>
      <c r="K8" s="39"/>
    </row>
    <row r="9" spans="1:39" ht="16.5" thickBot="1" x14ac:dyDescent="0.3">
      <c r="A9" s="80">
        <v>45517</v>
      </c>
      <c r="B9" s="62">
        <v>1.575</v>
      </c>
      <c r="C9" s="60">
        <v>3.0550000000000002</v>
      </c>
      <c r="D9" s="60">
        <v>3.4849999999999999</v>
      </c>
      <c r="E9" s="60">
        <v>1.7849999999999999</v>
      </c>
      <c r="F9" s="60">
        <v>2.56</v>
      </c>
      <c r="G9" s="60">
        <v>2.5649999999999999</v>
      </c>
      <c r="H9" s="60">
        <v>1.57</v>
      </c>
      <c r="I9" s="60">
        <v>6.01</v>
      </c>
      <c r="J9" s="60">
        <v>6.01</v>
      </c>
      <c r="K9" s="63"/>
    </row>
    <row r="10" spans="1:39" ht="16.5" thickBot="1" x14ac:dyDescent="0.3">
      <c r="A10" s="78">
        <v>45518</v>
      </c>
      <c r="B10" s="38">
        <v>1.58</v>
      </c>
      <c r="C10" s="36">
        <v>3.05</v>
      </c>
      <c r="D10" s="36">
        <v>3.4950000000000001</v>
      </c>
      <c r="E10" s="36">
        <v>1.78</v>
      </c>
      <c r="F10" s="36">
        <v>2.5649999999999999</v>
      </c>
      <c r="G10" s="36">
        <v>2.5550000000000002</v>
      </c>
      <c r="H10" s="36">
        <v>1.5549999999999999</v>
      </c>
      <c r="I10" s="36">
        <v>6.03</v>
      </c>
      <c r="J10" s="36">
        <v>6.03</v>
      </c>
      <c r="K10" s="39"/>
    </row>
    <row r="11" spans="1:39" ht="16.5" thickBot="1" x14ac:dyDescent="0.3">
      <c r="A11" s="80">
        <v>45519</v>
      </c>
      <c r="B11" s="62">
        <v>1.56</v>
      </c>
      <c r="C11" s="60">
        <v>3.0350000000000001</v>
      </c>
      <c r="D11" s="60">
        <v>3.48</v>
      </c>
      <c r="E11" s="60">
        <v>1.77</v>
      </c>
      <c r="F11" s="60">
        <v>2.56</v>
      </c>
      <c r="G11" s="60">
        <v>2.58</v>
      </c>
      <c r="H11" s="60">
        <v>1.5449999999999999</v>
      </c>
      <c r="I11" s="60">
        <v>6.02</v>
      </c>
      <c r="J11" s="60">
        <v>6.02</v>
      </c>
      <c r="K11" s="63"/>
    </row>
    <row r="12" spans="1:39" ht="16.5" thickBot="1" x14ac:dyDescent="0.3">
      <c r="A12" s="78">
        <v>45520</v>
      </c>
      <c r="B12" s="38">
        <v>1.57</v>
      </c>
      <c r="C12" s="36">
        <v>3.02</v>
      </c>
      <c r="D12" s="36">
        <v>3.4750000000000001</v>
      </c>
      <c r="E12" s="36">
        <v>1.78</v>
      </c>
      <c r="F12" s="36">
        <v>2.58</v>
      </c>
      <c r="G12" s="36">
        <v>2.57</v>
      </c>
      <c r="H12" s="36">
        <v>1.58</v>
      </c>
      <c r="I12" s="36">
        <v>6.01</v>
      </c>
      <c r="J12" s="36">
        <v>6.0449999999999999</v>
      </c>
      <c r="K12" s="39"/>
    </row>
    <row r="13" spans="1:39" s="64" customFormat="1" ht="16.5" thickBot="1" x14ac:dyDescent="0.3">
      <c r="A13" s="80">
        <v>45520</v>
      </c>
      <c r="B13" s="62">
        <v>1.58</v>
      </c>
      <c r="C13" s="60">
        <v>3.0150000000000001</v>
      </c>
      <c r="D13" s="60">
        <v>3.48</v>
      </c>
      <c r="E13" s="60">
        <v>1.7949999999999999</v>
      </c>
      <c r="F13" s="60">
        <v>2.58</v>
      </c>
      <c r="G13" s="60">
        <v>2.56</v>
      </c>
      <c r="H13" s="60">
        <v>1.585</v>
      </c>
      <c r="I13" s="60">
        <v>6.0449999999999999</v>
      </c>
      <c r="J13" s="60">
        <v>6.04</v>
      </c>
      <c r="K13" s="6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ht="16.5" thickBot="1" x14ac:dyDescent="0.3">
      <c r="A14" s="78">
        <v>45523</v>
      </c>
      <c r="B14" s="38">
        <v>1.56</v>
      </c>
      <c r="C14" s="36">
        <v>3.0350000000000001</v>
      </c>
      <c r="D14" s="36">
        <v>3.4649999999999999</v>
      </c>
      <c r="E14" s="36">
        <v>1.78</v>
      </c>
      <c r="F14" s="36">
        <v>2.57</v>
      </c>
      <c r="G14" s="36">
        <v>2.57</v>
      </c>
      <c r="H14" s="36">
        <v>1.575</v>
      </c>
      <c r="I14" s="36">
        <v>6.04</v>
      </c>
      <c r="J14" s="36">
        <v>6.02</v>
      </c>
      <c r="K14" s="39"/>
    </row>
    <row r="15" spans="1:39" s="64" customFormat="1" ht="16.5" thickBot="1" x14ac:dyDescent="0.3">
      <c r="A15" s="80">
        <v>45524</v>
      </c>
      <c r="B15" s="62">
        <v>1.58</v>
      </c>
      <c r="C15" s="60">
        <v>3.0550000000000002</v>
      </c>
      <c r="D15" s="60">
        <v>3.48</v>
      </c>
      <c r="E15" s="60">
        <v>1.98</v>
      </c>
      <c r="F15" s="60">
        <v>2.58</v>
      </c>
      <c r="G15" s="60">
        <v>2.5550000000000002</v>
      </c>
      <c r="H15" s="60">
        <v>1.58</v>
      </c>
      <c r="I15" s="60">
        <v>6.02</v>
      </c>
      <c r="J15" s="60">
        <v>6.01</v>
      </c>
      <c r="K15" s="63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ht="16.5" thickBot="1" x14ac:dyDescent="0.3">
      <c r="A16" s="78">
        <v>45525</v>
      </c>
      <c r="B16" s="55">
        <v>1.57</v>
      </c>
      <c r="C16" s="56">
        <v>3.05</v>
      </c>
      <c r="D16" s="56">
        <v>3.4849999999999999</v>
      </c>
      <c r="E16" s="56">
        <v>1.9750000000000001</v>
      </c>
      <c r="F16" s="56">
        <v>2.5649999999999999</v>
      </c>
      <c r="G16" s="56">
        <v>2.585</v>
      </c>
      <c r="H16" s="56">
        <v>1.57</v>
      </c>
      <c r="I16" s="56">
        <v>6.01</v>
      </c>
      <c r="J16" s="56">
        <v>6.0350000000000001</v>
      </c>
      <c r="K16" s="57"/>
    </row>
    <row r="17" spans="1:39" s="64" customFormat="1" ht="15.75" x14ac:dyDescent="0.25">
      <c r="A17" s="80">
        <v>45526</v>
      </c>
      <c r="B17" s="66">
        <v>1.58</v>
      </c>
      <c r="C17" s="67">
        <v>3.03</v>
      </c>
      <c r="D17" s="67">
        <v>3.4750000000000001</v>
      </c>
      <c r="E17" s="67">
        <v>1.99</v>
      </c>
      <c r="F17" s="67">
        <v>2.56</v>
      </c>
      <c r="G17" s="67">
        <v>2.57</v>
      </c>
      <c r="H17" s="67">
        <v>1.56</v>
      </c>
      <c r="I17" s="67">
        <v>6.0350000000000001</v>
      </c>
      <c r="J17" s="67">
        <v>6.02</v>
      </c>
      <c r="K17" s="68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ht="15.75" x14ac:dyDescent="0.25">
      <c r="A18" s="30">
        <v>45527</v>
      </c>
      <c r="B18" s="55">
        <v>1.5649999999999999</v>
      </c>
      <c r="C18" s="56">
        <v>3.0249999999999999</v>
      </c>
      <c r="D18" s="56">
        <v>3.47</v>
      </c>
      <c r="E18" s="56">
        <v>1.9650000000000001</v>
      </c>
      <c r="F18" s="56">
        <v>2.58</v>
      </c>
      <c r="G18" s="56">
        <v>2.5649999999999999</v>
      </c>
      <c r="H18" s="56">
        <v>1.575</v>
      </c>
      <c r="I18" s="56">
        <v>6.02</v>
      </c>
      <c r="J18" s="56">
        <v>6.01</v>
      </c>
      <c r="K18" s="57"/>
    </row>
    <row r="19" spans="1:39" s="64" customFormat="1" ht="15.75" x14ac:dyDescent="0.25">
      <c r="A19" s="29">
        <v>45530</v>
      </c>
      <c r="B19" s="66">
        <v>1.575</v>
      </c>
      <c r="C19" s="67">
        <v>3.03</v>
      </c>
      <c r="D19" s="67">
        <v>3.4849999999999999</v>
      </c>
      <c r="E19" s="67">
        <v>1.96</v>
      </c>
      <c r="F19" s="67">
        <v>2.58</v>
      </c>
      <c r="G19" s="67">
        <v>2.57</v>
      </c>
      <c r="H19" s="67">
        <v>1.585</v>
      </c>
      <c r="I19" s="67">
        <v>6.01</v>
      </c>
      <c r="J19" s="67">
        <v>6.03</v>
      </c>
      <c r="K19" s="68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ht="15.75" x14ac:dyDescent="0.25">
      <c r="A20" s="30">
        <v>45531</v>
      </c>
      <c r="B20" s="55">
        <v>1.57</v>
      </c>
      <c r="C20" s="56">
        <v>3.05</v>
      </c>
      <c r="D20" s="56">
        <v>3.48</v>
      </c>
      <c r="E20" s="56">
        <v>1.97</v>
      </c>
      <c r="F20" s="56">
        <v>2.57</v>
      </c>
      <c r="G20" s="56">
        <v>2.58</v>
      </c>
      <c r="H20" s="56">
        <v>1.57</v>
      </c>
      <c r="I20" s="56">
        <v>6.04</v>
      </c>
      <c r="J20" s="56">
        <v>6.0250000000000004</v>
      </c>
      <c r="K20" s="57"/>
    </row>
    <row r="21" spans="1:39" s="64" customFormat="1" ht="15.75" x14ac:dyDescent="0.25">
      <c r="A21" s="29">
        <v>45532</v>
      </c>
      <c r="B21" s="66">
        <v>1.5649999999999999</v>
      </c>
      <c r="C21" s="67">
        <v>3.0249999999999999</v>
      </c>
      <c r="D21" s="67">
        <v>3.47</v>
      </c>
      <c r="E21" s="67">
        <v>1.9450000000000001</v>
      </c>
      <c r="F21" s="67">
        <v>2.58</v>
      </c>
      <c r="G21" s="67">
        <v>2.58</v>
      </c>
      <c r="H21" s="67">
        <v>1.56</v>
      </c>
      <c r="I21" s="67">
        <v>6.03</v>
      </c>
      <c r="J21" s="67">
        <v>6.01</v>
      </c>
      <c r="K21" s="68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ht="15.75" x14ac:dyDescent="0.25">
      <c r="A22" s="30">
        <v>45533</v>
      </c>
      <c r="B22" s="55">
        <v>1.585</v>
      </c>
      <c r="C22" s="56">
        <v>3.0350000000000001</v>
      </c>
      <c r="D22" s="56">
        <v>3.4849999999999999</v>
      </c>
      <c r="E22" s="56">
        <v>1.99</v>
      </c>
      <c r="F22" s="56">
        <v>2.56</v>
      </c>
      <c r="G22" s="56">
        <v>2.585</v>
      </c>
      <c r="H22" s="56">
        <v>1.575</v>
      </c>
      <c r="I22" s="56">
        <v>6.02</v>
      </c>
      <c r="J22" s="56">
        <v>6.02</v>
      </c>
      <c r="K22" s="57"/>
    </row>
    <row r="23" spans="1:39" s="64" customFormat="1" ht="15.75" x14ac:dyDescent="0.25">
      <c r="A23" s="29">
        <v>45534</v>
      </c>
      <c r="B23" s="66">
        <v>1.57</v>
      </c>
      <c r="C23" s="67">
        <v>3.0550000000000002</v>
      </c>
      <c r="D23" s="67">
        <v>3.4750000000000001</v>
      </c>
      <c r="E23" s="67">
        <v>1.98</v>
      </c>
      <c r="F23" s="67">
        <v>2.5649999999999999</v>
      </c>
      <c r="G23" s="67">
        <v>2.57</v>
      </c>
      <c r="H23" s="67">
        <v>1.585</v>
      </c>
      <c r="I23" s="67">
        <v>6.0250000000000004</v>
      </c>
      <c r="J23" s="67">
        <v>6.04</v>
      </c>
      <c r="K23" s="68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ht="15.75" x14ac:dyDescent="0.25">
      <c r="A24" s="30"/>
      <c r="B24" s="55"/>
      <c r="C24" s="56"/>
      <c r="D24" s="56"/>
      <c r="E24" s="56"/>
      <c r="F24" s="56"/>
      <c r="G24" s="56"/>
      <c r="H24" s="56"/>
      <c r="I24" s="56"/>
      <c r="J24" s="56"/>
      <c r="K24" s="57"/>
    </row>
    <row r="25" spans="1:39" s="64" customFormat="1" ht="15.75" x14ac:dyDescent="0.25">
      <c r="A25" s="29" t="s">
        <v>30</v>
      </c>
      <c r="B25" s="66"/>
      <c r="C25" s="67">
        <v>3.24</v>
      </c>
      <c r="D25" s="67"/>
      <c r="E25" s="67"/>
      <c r="F25" s="67">
        <v>2.7050000000000001</v>
      </c>
      <c r="G25" s="67">
        <v>1.25</v>
      </c>
      <c r="H25" s="67">
        <v>1.58</v>
      </c>
      <c r="I25" s="67">
        <v>3.78</v>
      </c>
      <c r="J25" s="67">
        <v>3.25</v>
      </c>
      <c r="K25" s="68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ht="15.75" x14ac:dyDescent="0.25">
      <c r="A26" s="30"/>
      <c r="B26" s="55"/>
      <c r="C26" s="56"/>
      <c r="D26" s="56"/>
      <c r="E26" s="56"/>
      <c r="F26" s="56">
        <v>2.85</v>
      </c>
      <c r="G26" s="56"/>
      <c r="H26" s="56"/>
      <c r="I26" s="56">
        <v>3.7650000000000001</v>
      </c>
      <c r="J26" s="56">
        <v>5.2050000000000001</v>
      </c>
      <c r="K26" s="57"/>
    </row>
    <row r="27" spans="1:39" s="64" customFormat="1" ht="16.5" thickBot="1" x14ac:dyDescent="0.3">
      <c r="A27" s="79"/>
      <c r="B27" s="69"/>
      <c r="C27" s="70"/>
      <c r="D27" s="70"/>
      <c r="E27" s="70"/>
      <c r="F27" s="70"/>
      <c r="G27" s="70"/>
      <c r="H27" s="70"/>
      <c r="I27" s="70">
        <v>3.78</v>
      </c>
      <c r="J27" s="70"/>
      <c r="K27" s="71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ht="19.5" thickBot="1" x14ac:dyDescent="0.3">
      <c r="B28" s="5">
        <f t="shared" ref="B28:J28" si="0">SUM(B2:B27)</f>
        <v>34.604999999999997</v>
      </c>
      <c r="C28" s="5">
        <f t="shared" si="0"/>
        <v>70.03</v>
      </c>
      <c r="D28" s="5">
        <f t="shared" si="0"/>
        <v>76.549999999999983</v>
      </c>
      <c r="E28" s="5">
        <f t="shared" si="0"/>
        <v>40.924999999999997</v>
      </c>
      <c r="F28" s="5">
        <f t="shared" si="0"/>
        <v>62.124999999999993</v>
      </c>
      <c r="G28" s="5">
        <f>SUM(G2:G27)</f>
        <v>57.814999999999991</v>
      </c>
      <c r="H28" s="5">
        <f t="shared" si="0"/>
        <v>36.154999999999994</v>
      </c>
      <c r="I28" s="5">
        <f t="shared" si="0"/>
        <v>143.88</v>
      </c>
      <c r="J28" s="5">
        <f t="shared" si="0"/>
        <v>141.01000000000002</v>
      </c>
      <c r="K28" s="5">
        <f t="shared" ref="K28" si="1">SUM(K4:K27)</f>
        <v>0</v>
      </c>
    </row>
    <row r="29" spans="1:39" ht="15.75" thickBot="1" x14ac:dyDescent="0.3">
      <c r="B29" s="2" t="s">
        <v>0</v>
      </c>
      <c r="C29" s="3" t="s">
        <v>1</v>
      </c>
      <c r="D29" s="2" t="s">
        <v>2</v>
      </c>
      <c r="E29" s="2" t="s">
        <v>25</v>
      </c>
      <c r="F29" s="4" t="s">
        <v>3</v>
      </c>
      <c r="G29" s="2" t="s">
        <v>4</v>
      </c>
      <c r="H29" s="4" t="s">
        <v>5</v>
      </c>
      <c r="I29" s="2" t="s">
        <v>6</v>
      </c>
      <c r="J29" s="4" t="s">
        <v>7</v>
      </c>
      <c r="K29" s="2"/>
    </row>
    <row r="30" spans="1:39" ht="15.75" thickBot="1" x14ac:dyDescent="0.3"/>
    <row r="31" spans="1:39" ht="18.75" x14ac:dyDescent="0.3">
      <c r="B31" s="87" t="s">
        <v>8</v>
      </c>
      <c r="C31" s="88"/>
      <c r="D31" s="88"/>
      <c r="E31" s="88"/>
      <c r="F31" s="87" t="s">
        <v>9</v>
      </c>
      <c r="G31" s="89"/>
      <c r="H31" s="88" t="s">
        <v>10</v>
      </c>
      <c r="I31" s="88"/>
      <c r="J31" s="89"/>
      <c r="K31" s="16"/>
    </row>
    <row r="32" spans="1:39" x14ac:dyDescent="0.25">
      <c r="B32" s="90">
        <f>B28+C28+D28+E28</f>
        <v>222.10999999999996</v>
      </c>
      <c r="C32" s="91"/>
      <c r="D32" s="91"/>
      <c r="E32" s="91"/>
      <c r="F32" s="90">
        <f>F28+G28</f>
        <v>119.93999999999998</v>
      </c>
      <c r="G32" s="94"/>
      <c r="H32" s="96">
        <f>H28+I28+J28</f>
        <v>321.04500000000002</v>
      </c>
      <c r="I32" s="91"/>
      <c r="J32" s="94"/>
      <c r="K32" s="97">
        <f>B32+F32+H32</f>
        <v>663.09500000000003</v>
      </c>
    </row>
    <row r="33" spans="2:11" ht="15.75" thickBot="1" x14ac:dyDescent="0.3">
      <c r="B33" s="92"/>
      <c r="C33" s="93"/>
      <c r="D33" s="93"/>
      <c r="E33" s="93"/>
      <c r="F33" s="92"/>
      <c r="G33" s="95"/>
      <c r="H33" s="93"/>
      <c r="I33" s="93"/>
      <c r="J33" s="95"/>
      <c r="K33" s="98"/>
    </row>
    <row r="37" spans="2:11" ht="15.75" x14ac:dyDescent="0.25">
      <c r="H37" s="46"/>
    </row>
    <row r="38" spans="2:11" x14ac:dyDescent="0.25">
      <c r="I38" s="45"/>
    </row>
    <row r="40" spans="2:11" x14ac:dyDescent="0.25">
      <c r="E40" s="45"/>
    </row>
  </sheetData>
  <mergeCells count="8">
    <mergeCell ref="B1:K1"/>
    <mergeCell ref="B31:E31"/>
    <mergeCell ref="F31:G31"/>
    <mergeCell ref="H31:J31"/>
    <mergeCell ref="B32:E33"/>
    <mergeCell ref="F32:G33"/>
    <mergeCell ref="H32:J33"/>
    <mergeCell ref="K32:K33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EB0E4-EA5F-46F9-9078-F65E99BA7648}">
  <dimension ref="A1:AM40"/>
  <sheetViews>
    <sheetView topLeftCell="A24" zoomScale="118" zoomScaleNormal="118" workbookViewId="0">
      <selection sqref="A1:K33"/>
    </sheetView>
  </sheetViews>
  <sheetFormatPr defaultColWidth="10.7109375" defaultRowHeight="15" x14ac:dyDescent="0.25"/>
  <cols>
    <col min="1" max="1" width="15.140625" customWidth="1"/>
    <col min="2" max="2" width="12" bestFit="1" customWidth="1"/>
  </cols>
  <sheetData>
    <row r="1" spans="1:39" ht="33" customHeight="1" thickBot="1" x14ac:dyDescent="0.3">
      <c r="A1" s="44" t="s">
        <v>14</v>
      </c>
      <c r="B1" s="84" t="s">
        <v>31</v>
      </c>
      <c r="C1" s="85"/>
      <c r="D1" s="85"/>
      <c r="E1" s="85"/>
      <c r="F1" s="85"/>
      <c r="G1" s="85"/>
      <c r="H1" s="85"/>
      <c r="I1" s="85"/>
      <c r="J1" s="85"/>
      <c r="K1" s="86"/>
    </row>
    <row r="2" spans="1:39" ht="16.5" thickBot="1" x14ac:dyDescent="0.3">
      <c r="A2" s="78">
        <v>45537</v>
      </c>
      <c r="B2" s="31"/>
      <c r="C2" s="32"/>
      <c r="D2" s="32"/>
      <c r="E2" s="32"/>
      <c r="F2" s="32"/>
      <c r="G2" s="32"/>
      <c r="H2" s="32"/>
      <c r="I2" s="32"/>
      <c r="J2" s="32"/>
      <c r="K2" s="33"/>
    </row>
    <row r="3" spans="1:39" ht="16.5" thickBot="1" x14ac:dyDescent="0.3">
      <c r="A3" s="80">
        <v>45538</v>
      </c>
      <c r="B3" s="76"/>
      <c r="C3" s="25"/>
      <c r="D3" s="25"/>
      <c r="E3" s="25"/>
      <c r="F3" s="25"/>
      <c r="G3" s="25"/>
      <c r="H3" s="25"/>
      <c r="I3" s="25"/>
      <c r="J3" s="25"/>
      <c r="K3" s="26"/>
    </row>
    <row r="4" spans="1:39" ht="16.5" thickBot="1" x14ac:dyDescent="0.3">
      <c r="A4" s="78">
        <v>45539</v>
      </c>
      <c r="B4" s="77"/>
      <c r="C4" s="36"/>
      <c r="D4" s="36"/>
      <c r="E4" s="36"/>
      <c r="F4" s="36"/>
      <c r="G4" s="36"/>
      <c r="H4" s="36"/>
      <c r="I4" s="36"/>
      <c r="J4" s="36"/>
      <c r="K4" s="37"/>
    </row>
    <row r="5" spans="1:39" ht="16.5" thickBot="1" x14ac:dyDescent="0.3">
      <c r="A5" s="80">
        <v>45540</v>
      </c>
      <c r="B5" s="76"/>
      <c r="C5" s="25"/>
      <c r="D5" s="25"/>
      <c r="E5" s="25"/>
      <c r="F5" s="25"/>
      <c r="G5" s="25"/>
      <c r="H5" s="25"/>
      <c r="I5" s="25"/>
      <c r="J5" s="25"/>
      <c r="K5" s="26"/>
    </row>
    <row r="6" spans="1:39" ht="16.5" thickBot="1" x14ac:dyDescent="0.3">
      <c r="A6" s="78">
        <v>45541</v>
      </c>
      <c r="B6" s="35"/>
      <c r="C6" s="36"/>
      <c r="D6" s="36"/>
      <c r="E6" s="36"/>
      <c r="F6" s="36"/>
      <c r="G6" s="36"/>
      <c r="H6" s="36"/>
      <c r="I6" s="36"/>
      <c r="J6" s="36"/>
      <c r="K6" s="37"/>
    </row>
    <row r="7" spans="1:39" ht="16.5" thickBot="1" x14ac:dyDescent="0.3">
      <c r="A7" s="80">
        <v>45544</v>
      </c>
      <c r="B7" s="59"/>
      <c r="C7" s="60"/>
      <c r="D7" s="60"/>
      <c r="E7" s="60"/>
      <c r="F7" s="60"/>
      <c r="G7" s="60"/>
      <c r="H7" s="60"/>
      <c r="I7" s="60"/>
      <c r="J7" s="60"/>
      <c r="K7" s="61"/>
    </row>
    <row r="8" spans="1:39" ht="16.5" thickBot="1" x14ac:dyDescent="0.3">
      <c r="A8" s="78">
        <v>45545</v>
      </c>
      <c r="B8" s="38"/>
      <c r="C8" s="36"/>
      <c r="D8" s="36"/>
      <c r="E8" s="36"/>
      <c r="F8" s="36"/>
      <c r="G8" s="36"/>
      <c r="H8" s="36"/>
      <c r="I8" s="36"/>
      <c r="J8" s="36"/>
      <c r="K8" s="39"/>
    </row>
    <row r="9" spans="1:39" ht="16.5" thickBot="1" x14ac:dyDescent="0.3">
      <c r="A9" s="80">
        <v>45546</v>
      </c>
      <c r="B9" s="62">
        <v>1.5249999999999999</v>
      </c>
      <c r="C9" s="60">
        <v>3.0249999999999999</v>
      </c>
      <c r="D9" s="60">
        <v>3.4750000000000001</v>
      </c>
      <c r="E9" s="60">
        <v>1.87</v>
      </c>
      <c r="F9" s="60"/>
      <c r="G9" s="60"/>
      <c r="H9" s="60">
        <v>0.78500000000000003</v>
      </c>
      <c r="I9" s="60">
        <v>1.4850000000000001</v>
      </c>
      <c r="J9" s="60">
        <v>2.37</v>
      </c>
      <c r="K9" s="63"/>
    </row>
    <row r="10" spans="1:39" ht="16.5" thickBot="1" x14ac:dyDescent="0.3">
      <c r="A10" s="78">
        <v>45547</v>
      </c>
      <c r="B10" s="38">
        <v>0.58499999999999996</v>
      </c>
      <c r="C10" s="36">
        <v>1.115</v>
      </c>
      <c r="D10" s="36">
        <v>1.375</v>
      </c>
      <c r="E10" s="36">
        <v>1.165</v>
      </c>
      <c r="F10" s="36">
        <v>1.0249999999999999</v>
      </c>
      <c r="G10" s="36">
        <v>1.7450000000000001</v>
      </c>
      <c r="H10" s="36"/>
      <c r="I10" s="36"/>
      <c r="J10" s="36"/>
      <c r="K10" s="39"/>
    </row>
    <row r="11" spans="1:39" ht="16.5" thickBot="1" x14ac:dyDescent="0.3">
      <c r="A11" s="80">
        <v>45548</v>
      </c>
      <c r="B11" s="62">
        <v>1.5149999999999999</v>
      </c>
      <c r="C11" s="60">
        <v>3.0249999999999999</v>
      </c>
      <c r="D11" s="60">
        <v>3.46</v>
      </c>
      <c r="E11" s="60">
        <v>1.88</v>
      </c>
      <c r="F11" s="60"/>
      <c r="G11" s="60"/>
      <c r="H11" s="60"/>
      <c r="I11" s="60"/>
      <c r="J11" s="60"/>
      <c r="K11" s="63"/>
    </row>
    <row r="12" spans="1:39" ht="16.5" thickBot="1" x14ac:dyDescent="0.3">
      <c r="A12" s="78">
        <v>45551</v>
      </c>
      <c r="B12" s="38">
        <v>1.52</v>
      </c>
      <c r="C12" s="36">
        <v>3.04</v>
      </c>
      <c r="D12" s="36">
        <v>3.45</v>
      </c>
      <c r="E12" s="36">
        <v>1.89</v>
      </c>
      <c r="F12" s="36">
        <v>2.5449999999999999</v>
      </c>
      <c r="G12" s="36">
        <v>2.5499999999999998</v>
      </c>
      <c r="H12" s="36">
        <v>1.53</v>
      </c>
      <c r="I12" s="36">
        <v>6.02</v>
      </c>
      <c r="J12" s="36">
        <v>6.03</v>
      </c>
      <c r="K12" s="39"/>
    </row>
    <row r="13" spans="1:39" s="64" customFormat="1" ht="16.5" thickBot="1" x14ac:dyDescent="0.3">
      <c r="A13" s="80">
        <v>45552</v>
      </c>
      <c r="B13" s="62">
        <v>1.54</v>
      </c>
      <c r="C13" s="60">
        <v>3.0449999999999999</v>
      </c>
      <c r="D13" s="60">
        <v>3.46</v>
      </c>
      <c r="E13" s="60">
        <v>1.93</v>
      </c>
      <c r="F13" s="60"/>
      <c r="G13" s="60"/>
      <c r="H13" s="60"/>
      <c r="I13" s="60"/>
      <c r="J13" s="60"/>
      <c r="K13" s="6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</row>
    <row r="14" spans="1:39" ht="16.5" thickBot="1" x14ac:dyDescent="0.3">
      <c r="A14" s="78">
        <v>45553</v>
      </c>
      <c r="B14" s="38">
        <v>1.52</v>
      </c>
      <c r="C14" s="36">
        <v>3.05</v>
      </c>
      <c r="D14" s="36">
        <v>3.66</v>
      </c>
      <c r="E14" s="36">
        <v>1.88</v>
      </c>
      <c r="F14" s="36">
        <v>2.54</v>
      </c>
      <c r="G14" s="36">
        <v>2.5299999999999998</v>
      </c>
      <c r="H14" s="36">
        <v>1.54</v>
      </c>
      <c r="I14" s="36">
        <v>6.04</v>
      </c>
      <c r="J14" s="36">
        <v>6.0250000000000004</v>
      </c>
      <c r="K14" s="39"/>
    </row>
    <row r="15" spans="1:39" s="64" customFormat="1" ht="16.5" thickBot="1" x14ac:dyDescent="0.3">
      <c r="A15" s="80">
        <v>45554</v>
      </c>
      <c r="B15" s="62">
        <v>0.65</v>
      </c>
      <c r="C15" s="60">
        <v>1.25</v>
      </c>
      <c r="D15" s="60">
        <v>1.5</v>
      </c>
      <c r="E15" s="60">
        <v>1.1499999999999999</v>
      </c>
      <c r="F15" s="60">
        <v>1.1599999999999999</v>
      </c>
      <c r="G15" s="60">
        <v>1.18</v>
      </c>
      <c r="H15" s="60">
        <v>0.87</v>
      </c>
      <c r="I15" s="60">
        <v>5.55</v>
      </c>
      <c r="J15" s="60">
        <v>2.4049999999999998</v>
      </c>
      <c r="K15" s="63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39" ht="16.5" thickBot="1" x14ac:dyDescent="0.3">
      <c r="A16" s="78">
        <v>45555</v>
      </c>
      <c r="B16" s="55">
        <v>1.5</v>
      </c>
      <c r="C16" s="56">
        <v>3.1</v>
      </c>
      <c r="D16" s="56">
        <v>3.63</v>
      </c>
      <c r="E16" s="56">
        <v>1.86</v>
      </c>
      <c r="F16" s="56"/>
      <c r="G16" s="56"/>
      <c r="H16" s="56">
        <v>1.5249999999999999</v>
      </c>
      <c r="I16" s="56"/>
      <c r="J16" s="56">
        <v>6.09</v>
      </c>
      <c r="K16" s="57"/>
    </row>
    <row r="17" spans="1:39" s="64" customFormat="1" ht="15.75" x14ac:dyDescent="0.25">
      <c r="A17" s="80">
        <v>45558</v>
      </c>
      <c r="B17" s="66">
        <v>1.54</v>
      </c>
      <c r="C17" s="67">
        <v>3.09</v>
      </c>
      <c r="D17" s="67">
        <v>3.65</v>
      </c>
      <c r="E17" s="67">
        <v>1.855</v>
      </c>
      <c r="F17" s="67">
        <v>2.57</v>
      </c>
      <c r="G17" s="67">
        <v>2.54</v>
      </c>
      <c r="H17" s="67">
        <v>1.54</v>
      </c>
      <c r="I17" s="67">
        <v>6.06</v>
      </c>
      <c r="J17" s="67">
        <v>6.0350000000000001</v>
      </c>
      <c r="K17" s="68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</row>
    <row r="18" spans="1:39" ht="15.75" x14ac:dyDescent="0.25">
      <c r="A18" s="30">
        <v>45559</v>
      </c>
      <c r="B18" s="55">
        <v>1.5249999999999999</v>
      </c>
      <c r="C18" s="56">
        <v>3.05</v>
      </c>
      <c r="D18" s="56">
        <v>3.64</v>
      </c>
      <c r="E18" s="56">
        <v>1.89</v>
      </c>
      <c r="F18" s="56"/>
      <c r="G18" s="56"/>
      <c r="H18" s="56"/>
      <c r="I18" s="56"/>
      <c r="J18" s="56"/>
      <c r="K18" s="57"/>
    </row>
    <row r="19" spans="1:39" s="64" customFormat="1" ht="15.75" x14ac:dyDescent="0.25">
      <c r="A19" s="29">
        <v>45560</v>
      </c>
      <c r="B19" s="66">
        <v>1.53</v>
      </c>
      <c r="C19" s="67">
        <v>3.09</v>
      </c>
      <c r="D19" s="67">
        <v>3.7050000000000001</v>
      </c>
      <c r="E19" s="67">
        <v>1.905</v>
      </c>
      <c r="F19" s="67">
        <v>2.59</v>
      </c>
      <c r="G19" s="67">
        <v>2.58</v>
      </c>
      <c r="H19" s="67">
        <v>1.55</v>
      </c>
      <c r="I19" s="67">
        <v>6.08</v>
      </c>
      <c r="J19" s="67">
        <v>6.09</v>
      </c>
      <c r="K19" s="68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</row>
    <row r="20" spans="1:39" ht="15.75" x14ac:dyDescent="0.25">
      <c r="A20" s="30">
        <v>45561</v>
      </c>
      <c r="B20" s="55">
        <v>0.6</v>
      </c>
      <c r="C20" s="56">
        <v>3.04</v>
      </c>
      <c r="D20" s="56">
        <v>1.46</v>
      </c>
      <c r="E20" s="56">
        <v>1.175</v>
      </c>
      <c r="F20" s="56"/>
      <c r="G20" s="56"/>
      <c r="H20" s="56">
        <v>0.92500000000000004</v>
      </c>
      <c r="I20" s="56">
        <v>1.6</v>
      </c>
      <c r="J20" s="56">
        <v>2.38</v>
      </c>
      <c r="K20" s="57"/>
    </row>
    <row r="21" spans="1:39" s="64" customFormat="1" ht="15.75" x14ac:dyDescent="0.25">
      <c r="A21" s="29">
        <v>45562</v>
      </c>
      <c r="B21" s="66">
        <v>1.49</v>
      </c>
      <c r="C21" s="67">
        <v>3.0249999999999999</v>
      </c>
      <c r="D21" s="67">
        <v>3.33</v>
      </c>
      <c r="E21" s="67">
        <v>1.86</v>
      </c>
      <c r="F21" s="67"/>
      <c r="G21" s="67"/>
      <c r="H21" s="67"/>
      <c r="I21" s="67"/>
      <c r="J21" s="67"/>
      <c r="K21" s="68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ht="15.75" x14ac:dyDescent="0.25">
      <c r="A22" s="30">
        <v>45565</v>
      </c>
      <c r="B22" s="55">
        <v>1.56</v>
      </c>
      <c r="C22" s="56">
        <v>3.06</v>
      </c>
      <c r="D22" s="56">
        <v>3.6</v>
      </c>
      <c r="E22" s="56">
        <v>1.9450000000000001</v>
      </c>
      <c r="F22" s="56">
        <v>2.56</v>
      </c>
      <c r="G22" s="56">
        <v>2.5449999999999999</v>
      </c>
      <c r="H22" s="56">
        <v>1.58</v>
      </c>
      <c r="I22" s="56">
        <v>6.05</v>
      </c>
      <c r="J22" s="56">
        <v>6.08</v>
      </c>
      <c r="K22" s="57"/>
    </row>
    <row r="23" spans="1:39" s="64" customFormat="1" ht="15.75" x14ac:dyDescent="0.25">
      <c r="A23" s="29"/>
      <c r="B23" s="66">
        <v>1.56</v>
      </c>
      <c r="C23" s="67"/>
      <c r="D23" s="67"/>
      <c r="E23" s="67">
        <v>1.88</v>
      </c>
      <c r="F23" s="67"/>
      <c r="G23" s="67"/>
      <c r="H23" s="67"/>
      <c r="I23" s="67"/>
      <c r="J23" s="67"/>
      <c r="K23" s="68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</row>
    <row r="24" spans="1:39" ht="15.75" x14ac:dyDescent="0.25">
      <c r="A24" s="30"/>
      <c r="B24" s="55"/>
      <c r="C24" s="56"/>
      <c r="D24" s="56"/>
      <c r="E24" s="56"/>
      <c r="F24" s="56"/>
      <c r="G24" s="56"/>
      <c r="H24" s="56"/>
      <c r="I24" s="56"/>
      <c r="J24" s="56"/>
      <c r="K24" s="57"/>
    </row>
    <row r="25" spans="1:39" s="64" customFormat="1" ht="15.75" x14ac:dyDescent="0.25">
      <c r="A25" s="29"/>
      <c r="B25" s="66"/>
      <c r="C25" s="67"/>
      <c r="D25" s="67"/>
      <c r="E25" s="67"/>
      <c r="F25" s="67"/>
      <c r="G25" s="67"/>
      <c r="H25" s="67"/>
      <c r="I25" s="67"/>
      <c r="J25" s="67"/>
      <c r="K25" s="68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</row>
    <row r="26" spans="1:39" ht="15.75" x14ac:dyDescent="0.25">
      <c r="A26" s="30"/>
      <c r="B26" s="55"/>
      <c r="C26" s="56"/>
      <c r="D26" s="56"/>
      <c r="E26" s="56"/>
      <c r="F26" s="56"/>
      <c r="G26" s="56"/>
      <c r="H26" s="56"/>
      <c r="I26" s="56"/>
      <c r="J26" s="56"/>
      <c r="K26" s="57"/>
    </row>
    <row r="27" spans="1:39" s="64" customFormat="1" ht="16.5" thickBot="1" x14ac:dyDescent="0.3">
      <c r="A27" s="79"/>
      <c r="B27" s="69"/>
      <c r="C27" s="70"/>
      <c r="D27" s="70"/>
      <c r="E27" s="70"/>
      <c r="F27" s="70"/>
      <c r="G27" s="70"/>
      <c r="H27" s="70"/>
      <c r="I27" s="70"/>
      <c r="J27" s="70"/>
      <c r="K27" s="71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</row>
    <row r="28" spans="1:39" ht="19.5" thickBot="1" x14ac:dyDescent="0.3">
      <c r="B28" s="5">
        <f t="shared" ref="B28:J28" si="0">SUM(B2:B27)</f>
        <v>20.159999999999997</v>
      </c>
      <c r="C28" s="5">
        <f t="shared" si="0"/>
        <v>39.005000000000003</v>
      </c>
      <c r="D28" s="5">
        <f t="shared" si="0"/>
        <v>43.394999999999996</v>
      </c>
      <c r="E28" s="5">
        <f t="shared" si="0"/>
        <v>26.134999999999998</v>
      </c>
      <c r="F28" s="5">
        <f>SUM(F2:F27)</f>
        <v>14.99</v>
      </c>
      <c r="G28" s="5">
        <f>SUM(G2:G27)</f>
        <v>15.669999999999998</v>
      </c>
      <c r="H28" s="5">
        <f t="shared" si="0"/>
        <v>11.845000000000001</v>
      </c>
      <c r="I28" s="5">
        <f t="shared" si="0"/>
        <v>38.884999999999998</v>
      </c>
      <c r="J28" s="5">
        <f t="shared" si="0"/>
        <v>43.505000000000003</v>
      </c>
      <c r="K28" s="5">
        <f t="shared" ref="K28" si="1">SUM(K4:K27)</f>
        <v>0</v>
      </c>
    </row>
    <row r="29" spans="1:39" ht="15.75" thickBot="1" x14ac:dyDescent="0.3">
      <c r="B29" s="2" t="s">
        <v>0</v>
      </c>
      <c r="C29" s="3" t="s">
        <v>1</v>
      </c>
      <c r="D29" s="2" t="s">
        <v>2</v>
      </c>
      <c r="E29" s="2" t="s">
        <v>25</v>
      </c>
      <c r="F29" s="4" t="s">
        <v>3</v>
      </c>
      <c r="G29" s="2" t="s">
        <v>4</v>
      </c>
      <c r="H29" s="4" t="s">
        <v>5</v>
      </c>
      <c r="I29" s="2" t="s">
        <v>6</v>
      </c>
      <c r="J29" s="4" t="s">
        <v>7</v>
      </c>
      <c r="K29" s="2"/>
    </row>
    <row r="30" spans="1:39" ht="15.75" thickBot="1" x14ac:dyDescent="0.3"/>
    <row r="31" spans="1:39" ht="18.75" x14ac:dyDescent="0.3">
      <c r="B31" s="87" t="s">
        <v>8</v>
      </c>
      <c r="C31" s="88"/>
      <c r="D31" s="88"/>
      <c r="E31" s="88"/>
      <c r="F31" s="87" t="s">
        <v>9</v>
      </c>
      <c r="G31" s="89"/>
      <c r="H31" s="88" t="s">
        <v>10</v>
      </c>
      <c r="I31" s="88"/>
      <c r="J31" s="89"/>
      <c r="K31" s="16"/>
    </row>
    <row r="32" spans="1:39" x14ac:dyDescent="0.25">
      <c r="B32" s="90">
        <f>B28+C28+D28+E28</f>
        <v>128.69499999999999</v>
      </c>
      <c r="C32" s="91"/>
      <c r="D32" s="91"/>
      <c r="E32" s="91"/>
      <c r="F32" s="90">
        <f>F28+G28</f>
        <v>30.659999999999997</v>
      </c>
      <c r="G32" s="94"/>
      <c r="H32" s="96">
        <f>H28+I28+J28</f>
        <v>94.234999999999999</v>
      </c>
      <c r="I32" s="91"/>
      <c r="J32" s="94"/>
      <c r="K32" s="97">
        <f>B32+F32+H32</f>
        <v>253.58999999999997</v>
      </c>
    </row>
    <row r="33" spans="2:11" ht="15.75" thickBot="1" x14ac:dyDescent="0.3">
      <c r="B33" s="92"/>
      <c r="C33" s="93"/>
      <c r="D33" s="93"/>
      <c r="E33" s="93"/>
      <c r="F33" s="92"/>
      <c r="G33" s="95"/>
      <c r="H33" s="93"/>
      <c r="I33" s="93"/>
      <c r="J33" s="95"/>
      <c r="K33" s="98"/>
    </row>
    <row r="37" spans="2:11" ht="15.75" x14ac:dyDescent="0.25">
      <c r="H37" s="46"/>
    </row>
    <row r="38" spans="2:11" x14ac:dyDescent="0.25">
      <c r="I38" s="45"/>
    </row>
    <row r="40" spans="2:11" x14ac:dyDescent="0.25">
      <c r="E40" s="45"/>
    </row>
  </sheetData>
  <mergeCells count="8">
    <mergeCell ref="B1:K1"/>
    <mergeCell ref="B31:E31"/>
    <mergeCell ref="F31:G31"/>
    <mergeCell ref="H31:J31"/>
    <mergeCell ref="B32:E33"/>
    <mergeCell ref="F32:G33"/>
    <mergeCell ref="H32:J33"/>
    <mergeCell ref="K32:K33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F7641-9DD0-4742-B6D3-1DBF783F0F62}">
  <dimension ref="A1:AL41"/>
  <sheetViews>
    <sheetView zoomScale="90" zoomScaleNormal="90" workbookViewId="0">
      <selection activeCell="K23" sqref="K23"/>
    </sheetView>
  </sheetViews>
  <sheetFormatPr defaultColWidth="15.7109375" defaultRowHeight="15" x14ac:dyDescent="0.25"/>
  <sheetData>
    <row r="1" spans="1:38" ht="33" customHeight="1" thickBot="1" x14ac:dyDescent="0.3">
      <c r="A1" s="84" t="s">
        <v>33</v>
      </c>
      <c r="B1" s="85"/>
      <c r="C1" s="85"/>
      <c r="D1" s="85"/>
      <c r="E1" s="85"/>
      <c r="F1" s="85"/>
      <c r="G1" s="85"/>
      <c r="H1" s="85"/>
      <c r="I1" s="85"/>
      <c r="J1" s="86"/>
    </row>
    <row r="2" spans="1:38" ht="15.75" x14ac:dyDescent="0.25">
      <c r="A2" s="31">
        <v>3.84</v>
      </c>
      <c r="B2" s="32">
        <v>1.82</v>
      </c>
      <c r="C2" s="32">
        <v>2.48</v>
      </c>
      <c r="D2" s="32">
        <v>1.22</v>
      </c>
      <c r="E2" s="32">
        <v>1.88</v>
      </c>
      <c r="F2" s="32">
        <v>0.98</v>
      </c>
      <c r="G2" s="32">
        <v>1.2</v>
      </c>
      <c r="H2" s="32">
        <v>1.85</v>
      </c>
      <c r="I2" s="32">
        <v>4.5780000000000003</v>
      </c>
      <c r="J2" s="33"/>
    </row>
    <row r="3" spans="1:38" ht="15.75" x14ac:dyDescent="0.25">
      <c r="A3" s="76">
        <v>2.5499999999999998</v>
      </c>
      <c r="B3" s="25">
        <v>1.35</v>
      </c>
      <c r="C3" s="25">
        <v>1.6679999999999999</v>
      </c>
      <c r="D3" s="25">
        <v>1.29</v>
      </c>
      <c r="E3" s="25">
        <v>1.45</v>
      </c>
      <c r="F3" s="25">
        <v>0.65</v>
      </c>
      <c r="G3" s="25">
        <v>0.65</v>
      </c>
      <c r="H3" s="25">
        <v>1.744</v>
      </c>
      <c r="I3" s="25">
        <v>2.85</v>
      </c>
      <c r="J3" s="26"/>
    </row>
    <row r="4" spans="1:38" ht="15.75" x14ac:dyDescent="0.25">
      <c r="A4" s="77">
        <v>2.5</v>
      </c>
      <c r="B4" s="36">
        <v>1.25</v>
      </c>
      <c r="C4" s="36">
        <v>1.78</v>
      </c>
      <c r="D4" s="36">
        <v>1.25</v>
      </c>
      <c r="E4" s="36">
        <v>1.2</v>
      </c>
      <c r="F4" s="36">
        <v>1.25</v>
      </c>
      <c r="G4" s="36">
        <v>1.5880000000000001</v>
      </c>
      <c r="H4" s="36">
        <v>2.89</v>
      </c>
      <c r="I4" s="36">
        <v>2.9</v>
      </c>
      <c r="J4" s="37"/>
    </row>
    <row r="5" spans="1:38" ht="15.75" x14ac:dyDescent="0.25">
      <c r="A5" s="76">
        <v>2.4049999999999998</v>
      </c>
      <c r="B5" s="25">
        <v>1.21</v>
      </c>
      <c r="C5" s="25">
        <v>1.72</v>
      </c>
      <c r="D5" s="25">
        <v>1.28</v>
      </c>
      <c r="E5" s="25">
        <v>1.27</v>
      </c>
      <c r="F5" s="25">
        <v>1.23</v>
      </c>
      <c r="G5" s="25">
        <v>1.5549999999999999</v>
      </c>
      <c r="H5" s="25">
        <v>6.01</v>
      </c>
      <c r="I5" s="25">
        <v>6</v>
      </c>
      <c r="J5" s="26"/>
    </row>
    <row r="6" spans="1:38" ht="15.75" x14ac:dyDescent="0.25">
      <c r="A6" s="35">
        <v>3.04</v>
      </c>
      <c r="B6" s="36">
        <v>1.5940000000000001</v>
      </c>
      <c r="C6" s="36">
        <v>3.9550000000000001</v>
      </c>
      <c r="D6" s="36">
        <v>1.9379999999999999</v>
      </c>
      <c r="E6" s="36">
        <v>2.536</v>
      </c>
      <c r="F6" s="36">
        <v>2.536</v>
      </c>
      <c r="G6" s="36">
        <v>0.95</v>
      </c>
      <c r="H6" s="36">
        <v>6.15</v>
      </c>
      <c r="I6" s="36">
        <v>6.05</v>
      </c>
      <c r="J6" s="37"/>
    </row>
    <row r="7" spans="1:38" ht="15.75" x14ac:dyDescent="0.25">
      <c r="A7" s="59">
        <v>3.08</v>
      </c>
      <c r="B7" s="60">
        <v>1.58</v>
      </c>
      <c r="C7" s="60">
        <v>4.05</v>
      </c>
      <c r="D7" s="60">
        <v>1.89</v>
      </c>
      <c r="E7" s="60">
        <v>2.64</v>
      </c>
      <c r="F7" s="60">
        <v>2.5499999999999998</v>
      </c>
      <c r="G7" s="60">
        <v>1.28</v>
      </c>
      <c r="H7" s="60">
        <v>1.68</v>
      </c>
      <c r="I7" s="60">
        <v>2.35</v>
      </c>
      <c r="J7" s="61"/>
    </row>
    <row r="8" spans="1:38" ht="15.75" x14ac:dyDescent="0.25">
      <c r="A8" s="38">
        <v>3.2</v>
      </c>
      <c r="B8" s="36">
        <v>1.56</v>
      </c>
      <c r="C8" s="36">
        <v>1.25</v>
      </c>
      <c r="D8" s="36">
        <v>1.99</v>
      </c>
      <c r="E8" s="36">
        <v>1.1200000000000001</v>
      </c>
      <c r="F8" s="36">
        <v>1.1499999999999999</v>
      </c>
      <c r="G8" s="36">
        <v>1.25</v>
      </c>
      <c r="H8" s="36">
        <v>5.89</v>
      </c>
      <c r="I8" s="36">
        <v>6.1050000000000004</v>
      </c>
      <c r="J8" s="39"/>
    </row>
    <row r="9" spans="1:38" ht="15.75" x14ac:dyDescent="0.25">
      <c r="A9" s="62">
        <v>1.35</v>
      </c>
      <c r="B9" s="60">
        <v>0.68</v>
      </c>
      <c r="C9" s="60">
        <v>4.2300000000000004</v>
      </c>
      <c r="D9" s="60">
        <v>1.05</v>
      </c>
      <c r="E9" s="60">
        <v>2.5</v>
      </c>
      <c r="F9" s="60">
        <v>2.5</v>
      </c>
      <c r="G9" s="60">
        <v>0.95</v>
      </c>
      <c r="H9" s="60">
        <v>5.95</v>
      </c>
      <c r="I9" s="60">
        <v>6.19</v>
      </c>
      <c r="J9" s="63"/>
    </row>
    <row r="10" spans="1:38" ht="15.75" x14ac:dyDescent="0.25">
      <c r="A10" s="38">
        <v>3.59</v>
      </c>
      <c r="B10" s="36">
        <v>1.28</v>
      </c>
      <c r="C10" s="36">
        <v>4.28</v>
      </c>
      <c r="D10" s="36">
        <v>1.98</v>
      </c>
      <c r="E10" s="36">
        <v>2.65</v>
      </c>
      <c r="F10" s="36">
        <v>2.56</v>
      </c>
      <c r="G10" s="36">
        <v>1.58</v>
      </c>
      <c r="H10" s="36">
        <v>1.58</v>
      </c>
      <c r="I10" s="36">
        <v>2.48</v>
      </c>
      <c r="J10" s="39"/>
    </row>
    <row r="11" spans="1:38" ht="15.75" x14ac:dyDescent="0.25">
      <c r="A11" s="62">
        <v>3.19</v>
      </c>
      <c r="B11" s="60">
        <v>1.28</v>
      </c>
      <c r="C11" s="60">
        <v>3.98</v>
      </c>
      <c r="D11" s="60">
        <v>1.99</v>
      </c>
      <c r="E11" s="60">
        <v>1.1499999999999999</v>
      </c>
      <c r="F11" s="60">
        <v>1.1200000000000001</v>
      </c>
      <c r="G11" s="60">
        <v>1.58</v>
      </c>
      <c r="H11" s="60">
        <v>5.9</v>
      </c>
      <c r="I11" s="60">
        <v>6.03</v>
      </c>
      <c r="J11" s="63"/>
    </row>
    <row r="12" spans="1:38" ht="15.75" x14ac:dyDescent="0.25">
      <c r="A12" s="38">
        <v>3.34</v>
      </c>
      <c r="B12" s="36">
        <v>1.26</v>
      </c>
      <c r="C12" s="36">
        <v>4.0759999999999996</v>
      </c>
      <c r="D12" s="36">
        <v>1.98</v>
      </c>
      <c r="E12" s="36">
        <v>2.6</v>
      </c>
      <c r="F12" s="36">
        <v>2.62</v>
      </c>
      <c r="G12" s="36">
        <v>0.95</v>
      </c>
      <c r="H12" s="36">
        <v>6.4</v>
      </c>
      <c r="I12" s="36">
        <v>6.12</v>
      </c>
      <c r="J12" s="39"/>
    </row>
    <row r="13" spans="1:38" s="64" customFormat="1" ht="15.75" x14ac:dyDescent="0.25">
      <c r="A13" s="62">
        <v>3.09</v>
      </c>
      <c r="B13" s="60">
        <v>1.25</v>
      </c>
      <c r="C13" s="60">
        <v>4.1900000000000004</v>
      </c>
      <c r="D13" s="60">
        <v>1.99</v>
      </c>
      <c r="E13" s="60">
        <v>2.5099999999999998</v>
      </c>
      <c r="F13" s="60">
        <v>2.59</v>
      </c>
      <c r="G13" s="60"/>
      <c r="H13" s="60">
        <v>9.6639999999999997</v>
      </c>
      <c r="I13" s="60">
        <v>2.58</v>
      </c>
      <c r="J13" s="6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</row>
    <row r="14" spans="1:38" ht="15.75" x14ac:dyDescent="0.25">
      <c r="A14" s="38">
        <v>1.29</v>
      </c>
      <c r="B14" s="36">
        <v>0.68</v>
      </c>
      <c r="C14" s="36">
        <v>0.99</v>
      </c>
      <c r="D14" s="36">
        <v>1.05</v>
      </c>
      <c r="E14" s="36">
        <v>1.02</v>
      </c>
      <c r="F14" s="36">
        <v>1.02</v>
      </c>
      <c r="G14" s="36"/>
      <c r="H14" s="36"/>
      <c r="I14" s="36"/>
      <c r="J14" s="39"/>
    </row>
    <row r="15" spans="1:38" s="64" customFormat="1" ht="15.75" x14ac:dyDescent="0.25">
      <c r="A15" s="62">
        <v>3.24</v>
      </c>
      <c r="B15" s="60">
        <v>1.28</v>
      </c>
      <c r="C15" s="60">
        <v>4.0999999999999996</v>
      </c>
      <c r="D15" s="60">
        <v>1.8759999999999999</v>
      </c>
      <c r="E15" s="60"/>
      <c r="F15" s="60"/>
      <c r="G15" s="60"/>
      <c r="H15" s="60"/>
      <c r="I15" s="60"/>
      <c r="J15" s="63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</row>
    <row r="16" spans="1:38" ht="15.75" x14ac:dyDescent="0.25">
      <c r="A16" s="55">
        <v>2.98</v>
      </c>
      <c r="B16" s="56">
        <v>1.5980000000000001</v>
      </c>
      <c r="C16" s="56">
        <v>4.09</v>
      </c>
      <c r="D16" s="56">
        <v>1.97</v>
      </c>
      <c r="E16" s="56"/>
      <c r="F16" s="56"/>
      <c r="G16" s="56"/>
      <c r="H16" s="56"/>
      <c r="I16" s="56"/>
      <c r="J16" s="57"/>
    </row>
    <row r="17" spans="1:38" s="64" customFormat="1" ht="15.75" x14ac:dyDescent="0.25">
      <c r="A17" s="66">
        <v>3.03</v>
      </c>
      <c r="B17" s="67">
        <v>1.58</v>
      </c>
      <c r="C17" s="67">
        <v>4.1900000000000004</v>
      </c>
      <c r="D17" s="67">
        <v>2.15</v>
      </c>
      <c r="E17" s="67"/>
      <c r="F17" s="67"/>
      <c r="G17" s="67"/>
      <c r="H17" s="67"/>
      <c r="I17" s="67"/>
      <c r="J17" s="68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</row>
    <row r="18" spans="1:38" ht="15.75" x14ac:dyDescent="0.25">
      <c r="A18" s="55">
        <v>2.98</v>
      </c>
      <c r="B18" s="56">
        <v>1.56</v>
      </c>
      <c r="C18" s="56">
        <v>4.09</v>
      </c>
      <c r="D18" s="56">
        <v>1.98</v>
      </c>
      <c r="E18" s="56"/>
      <c r="F18" s="56"/>
      <c r="G18" s="56"/>
      <c r="H18" s="56"/>
      <c r="I18" s="56"/>
      <c r="J18" s="57"/>
    </row>
    <row r="19" spans="1:38" s="64" customFormat="1" ht="15.75" x14ac:dyDescent="0.25">
      <c r="A19" s="66">
        <v>1.29</v>
      </c>
      <c r="B19" s="67">
        <v>0.78</v>
      </c>
      <c r="C19" s="67">
        <v>1.08</v>
      </c>
      <c r="D19" s="67">
        <v>1.08</v>
      </c>
      <c r="E19" s="67"/>
      <c r="F19" s="67"/>
      <c r="G19" s="67"/>
      <c r="H19" s="67"/>
      <c r="I19" s="67"/>
      <c r="J19" s="68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</row>
    <row r="20" spans="1:38" ht="15.75" x14ac:dyDescent="0.25">
      <c r="A20" s="55">
        <v>2.98</v>
      </c>
      <c r="B20" s="56">
        <v>1.58</v>
      </c>
      <c r="C20" s="56">
        <v>4.05</v>
      </c>
      <c r="D20" s="56">
        <v>2.02</v>
      </c>
      <c r="E20" s="56"/>
      <c r="F20" s="56"/>
      <c r="G20" s="56"/>
      <c r="H20" s="56"/>
      <c r="I20" s="56"/>
      <c r="J20" s="57"/>
    </row>
    <row r="21" spans="1:38" s="64" customFormat="1" ht="15.75" x14ac:dyDescent="0.25">
      <c r="A21" s="66"/>
      <c r="B21" s="67"/>
      <c r="C21" s="67"/>
      <c r="D21" s="67"/>
      <c r="E21" s="67"/>
      <c r="F21" s="67"/>
      <c r="G21" s="67"/>
      <c r="H21" s="67"/>
      <c r="I21" s="67"/>
      <c r="J21" s="68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</row>
    <row r="22" spans="1:38" ht="15.75" x14ac:dyDescent="0.25">
      <c r="A22" s="55"/>
      <c r="B22" s="56"/>
      <c r="C22" s="56"/>
      <c r="D22" s="56"/>
      <c r="E22" s="56"/>
      <c r="F22" s="56"/>
      <c r="G22" s="56"/>
      <c r="H22" s="56"/>
      <c r="I22" s="56"/>
      <c r="J22" s="57"/>
    </row>
    <row r="23" spans="1:38" s="64" customFormat="1" ht="15.75" x14ac:dyDescent="0.25">
      <c r="A23" s="66"/>
      <c r="B23" s="67"/>
      <c r="C23" s="67"/>
      <c r="D23" s="67"/>
      <c r="E23" s="67"/>
      <c r="F23" s="67"/>
      <c r="G23" s="67"/>
      <c r="H23" s="67"/>
      <c r="I23" s="67"/>
      <c r="J23" s="68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</row>
    <row r="24" spans="1:38" ht="15.75" x14ac:dyDescent="0.25">
      <c r="A24" s="55"/>
      <c r="B24" s="56"/>
      <c r="C24" s="56"/>
      <c r="D24" s="56"/>
      <c r="E24" s="56"/>
      <c r="F24" s="56"/>
      <c r="G24" s="56"/>
      <c r="H24" s="56"/>
      <c r="I24" s="56"/>
      <c r="J24" s="57"/>
    </row>
    <row r="25" spans="1:38" s="64" customFormat="1" ht="15.75" x14ac:dyDescent="0.25">
      <c r="A25" s="66"/>
      <c r="B25" s="67"/>
      <c r="C25" s="67"/>
      <c r="D25" s="67"/>
      <c r="E25" s="67"/>
      <c r="F25" s="67"/>
      <c r="G25" s="67"/>
      <c r="H25" s="67"/>
      <c r="I25" s="67"/>
      <c r="J25" s="68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</row>
    <row r="26" spans="1:38" ht="15.75" x14ac:dyDescent="0.25">
      <c r="A26" s="55"/>
      <c r="B26" s="56"/>
      <c r="C26" s="56"/>
      <c r="D26" s="56"/>
      <c r="E26" s="56"/>
      <c r="F26" s="56"/>
      <c r="G26" s="56"/>
      <c r="H26" s="56"/>
      <c r="I26" s="56"/>
      <c r="J26" s="57"/>
    </row>
    <row r="27" spans="1:38" s="64" customFormat="1" ht="16.5" thickBot="1" x14ac:dyDescent="0.3">
      <c r="A27" s="69"/>
      <c r="B27" s="70"/>
      <c r="C27" s="70"/>
      <c r="D27" s="70"/>
      <c r="E27" s="70"/>
      <c r="F27" s="70"/>
      <c r="G27" s="70"/>
      <c r="H27" s="70"/>
      <c r="I27" s="70"/>
      <c r="J27" s="71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</row>
    <row r="28" spans="1:38" ht="19.5" thickBot="1" x14ac:dyDescent="0.3">
      <c r="A28" s="5">
        <f>SUM(A2:A27)</f>
        <v>52.964999999999989</v>
      </c>
      <c r="B28" s="5">
        <f>SUM(B2:B27)</f>
        <v>25.171999999999997</v>
      </c>
      <c r="C28" s="5">
        <f t="shared" ref="C28:J28" si="0">SUM(C2:C27)</f>
        <v>60.248999999999995</v>
      </c>
      <c r="D28" s="5">
        <f t="shared" si="0"/>
        <v>31.974</v>
      </c>
      <c r="E28" s="5">
        <f t="shared" si="0"/>
        <v>24.526</v>
      </c>
      <c r="F28" s="5">
        <f t="shared" si="0"/>
        <v>22.756</v>
      </c>
      <c r="G28" s="5">
        <f t="shared" si="0"/>
        <v>13.532999999999999</v>
      </c>
      <c r="H28" s="5">
        <f t="shared" si="0"/>
        <v>55.707999999999998</v>
      </c>
      <c r="I28" s="5">
        <f t="shared" si="0"/>
        <v>54.232999999999997</v>
      </c>
      <c r="J28" s="5">
        <f t="shared" si="0"/>
        <v>0</v>
      </c>
    </row>
    <row r="29" spans="1:38" ht="15.75" thickBot="1" x14ac:dyDescent="0.3">
      <c r="A29" s="2" t="s">
        <v>1</v>
      </c>
      <c r="B29" s="3" t="s">
        <v>0</v>
      </c>
      <c r="C29" s="2" t="s">
        <v>2</v>
      </c>
      <c r="D29" s="2" t="s">
        <v>25</v>
      </c>
      <c r="E29" s="4" t="s">
        <v>3</v>
      </c>
      <c r="F29" s="2" t="s">
        <v>4</v>
      </c>
      <c r="G29" s="4" t="s">
        <v>5</v>
      </c>
      <c r="H29" s="2" t="s">
        <v>6</v>
      </c>
      <c r="I29" s="4" t="s">
        <v>7</v>
      </c>
      <c r="J29" s="2"/>
    </row>
    <row r="30" spans="1:38" ht="15.75" thickBot="1" x14ac:dyDescent="0.3"/>
    <row r="31" spans="1:38" ht="18.75" x14ac:dyDescent="0.3">
      <c r="A31" s="87" t="s">
        <v>8</v>
      </c>
      <c r="B31" s="88"/>
      <c r="C31" s="88"/>
      <c r="D31" s="88"/>
      <c r="E31" s="87" t="s">
        <v>9</v>
      </c>
      <c r="F31" s="89"/>
      <c r="G31" s="88" t="s">
        <v>10</v>
      </c>
      <c r="H31" s="88"/>
      <c r="I31" s="89"/>
      <c r="J31" s="16"/>
    </row>
    <row r="32" spans="1:38" x14ac:dyDescent="0.25">
      <c r="A32" s="90">
        <f>A28+B28+C28+D28</f>
        <v>170.35999999999996</v>
      </c>
      <c r="B32" s="91"/>
      <c r="C32" s="91"/>
      <c r="D32" s="91"/>
      <c r="E32" s="90">
        <f>E28+F28</f>
        <v>47.281999999999996</v>
      </c>
      <c r="F32" s="94"/>
      <c r="G32" s="96">
        <f>G28+H28+I28</f>
        <v>123.47399999999999</v>
      </c>
      <c r="H32" s="91"/>
      <c r="I32" s="94"/>
      <c r="J32" s="97">
        <f>A32+E32+G32</f>
        <v>341.11599999999993</v>
      </c>
    </row>
    <row r="33" spans="1:10" ht="15.75" thickBot="1" x14ac:dyDescent="0.3">
      <c r="A33" s="92"/>
      <c r="B33" s="93"/>
      <c r="C33" s="93"/>
      <c r="D33" s="93"/>
      <c r="E33" s="92"/>
      <c r="F33" s="95"/>
      <c r="G33" s="93"/>
      <c r="H33" s="93"/>
      <c r="I33" s="95"/>
      <c r="J33" s="98"/>
    </row>
    <row r="37" spans="1:10" ht="15.75" x14ac:dyDescent="0.25">
      <c r="G37" s="46"/>
    </row>
    <row r="38" spans="1:10" x14ac:dyDescent="0.25">
      <c r="A38">
        <v>7.65</v>
      </c>
      <c r="C38">
        <v>7.78</v>
      </c>
      <c r="D38">
        <f>5.916+6.39</f>
        <v>12.306000000000001</v>
      </c>
      <c r="H38" s="45">
        <v>38.518000000000001</v>
      </c>
    </row>
    <row r="39" spans="1:10" x14ac:dyDescent="0.25">
      <c r="A39" s="81">
        <v>28</v>
      </c>
      <c r="C39" s="81">
        <v>30</v>
      </c>
      <c r="D39" s="82">
        <v>25.5</v>
      </c>
    </row>
    <row r="40" spans="1:10" x14ac:dyDescent="0.25">
      <c r="D40" s="45"/>
    </row>
    <row r="41" spans="1:10" x14ac:dyDescent="0.25">
      <c r="B41">
        <f>A38+C38+D38</f>
        <v>27.736000000000001</v>
      </c>
      <c r="C41" s="82">
        <f>A39+C39+D39</f>
        <v>83.5</v>
      </c>
    </row>
  </sheetData>
  <mergeCells count="8">
    <mergeCell ref="A1:J1"/>
    <mergeCell ref="A31:D31"/>
    <mergeCell ref="E31:F31"/>
    <mergeCell ref="G31:I31"/>
    <mergeCell ref="A32:D33"/>
    <mergeCell ref="E32:F33"/>
    <mergeCell ref="G32:I33"/>
    <mergeCell ref="J32:J33"/>
  </mergeCells>
  <pageMargins left="0.19685039370078741" right="0.19685039370078741" top="0.78740157480314965" bottom="0.78740157480314965" header="0.31496062992125984" footer="0.31496062992125984"/>
  <pageSetup paperSize="9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BA6E5-C836-4212-8610-4463F2CF939C}">
  <dimension ref="A1:J33"/>
  <sheetViews>
    <sheetView workbookViewId="0">
      <selection activeCell="E19" sqref="E19"/>
    </sheetView>
  </sheetViews>
  <sheetFormatPr defaultRowHeight="15" x14ac:dyDescent="0.25"/>
  <cols>
    <col min="1" max="1" width="12.28515625" customWidth="1"/>
    <col min="2" max="2" width="12.85546875" customWidth="1"/>
    <col min="3" max="3" width="10.42578125" customWidth="1"/>
    <col min="4" max="4" width="11.7109375" customWidth="1"/>
    <col min="5" max="5" width="11.42578125" customWidth="1"/>
    <col min="6" max="6" width="10.5703125" customWidth="1"/>
    <col min="7" max="7" width="11.42578125" customWidth="1"/>
    <col min="8" max="9" width="12.140625" customWidth="1"/>
  </cols>
  <sheetData>
    <row r="1" spans="1:10" ht="23.25" thickBot="1" x14ac:dyDescent="0.3">
      <c r="A1" s="84" t="s">
        <v>34</v>
      </c>
      <c r="B1" s="85"/>
      <c r="C1" s="85"/>
      <c r="D1" s="85"/>
      <c r="E1" s="85"/>
      <c r="F1" s="85"/>
      <c r="G1" s="85"/>
      <c r="H1" s="85"/>
      <c r="I1" s="85"/>
      <c r="J1" s="86"/>
    </row>
    <row r="2" spans="1:10" ht="15.75" x14ac:dyDescent="0.25">
      <c r="A2" s="31">
        <v>3.08</v>
      </c>
      <c r="B2" s="32">
        <v>1.56</v>
      </c>
      <c r="C2" s="32">
        <v>4.45</v>
      </c>
      <c r="D2" s="32">
        <v>2.02</v>
      </c>
      <c r="E2" s="32">
        <v>2.57</v>
      </c>
      <c r="F2" s="32">
        <v>2.59</v>
      </c>
      <c r="G2" s="32">
        <v>1.55</v>
      </c>
      <c r="H2" s="32">
        <v>5.98</v>
      </c>
      <c r="I2" s="32">
        <v>6.08</v>
      </c>
      <c r="J2" s="33"/>
    </row>
    <row r="3" spans="1:10" ht="15.75" x14ac:dyDescent="0.25">
      <c r="A3" s="76">
        <v>3.12</v>
      </c>
      <c r="B3" s="25">
        <v>1.58</v>
      </c>
      <c r="C3" s="25">
        <v>4.32</v>
      </c>
      <c r="D3" s="25">
        <v>1.98</v>
      </c>
      <c r="E3" s="25">
        <v>1.29</v>
      </c>
      <c r="F3" s="25">
        <v>1.28</v>
      </c>
      <c r="G3" s="25">
        <v>1.105</v>
      </c>
      <c r="H3" s="25">
        <v>1.58</v>
      </c>
      <c r="I3" s="25">
        <v>2.58</v>
      </c>
      <c r="J3" s="26"/>
    </row>
    <row r="4" spans="1:10" ht="15.75" x14ac:dyDescent="0.25">
      <c r="A4" s="77">
        <v>1.26</v>
      </c>
      <c r="B4" s="36">
        <v>0.89</v>
      </c>
      <c r="C4" s="36">
        <v>1.28</v>
      </c>
      <c r="D4" s="36">
        <v>1.2050000000000001</v>
      </c>
      <c r="E4" s="36">
        <v>2.59</v>
      </c>
      <c r="F4" s="36">
        <v>2.56</v>
      </c>
      <c r="G4" s="36">
        <v>1.53</v>
      </c>
      <c r="H4" s="36">
        <v>3.1080000000000001</v>
      </c>
      <c r="I4" s="36">
        <v>6.04</v>
      </c>
      <c r="J4" s="37"/>
    </row>
    <row r="5" spans="1:10" ht="15.75" x14ac:dyDescent="0.25">
      <c r="A5" s="76">
        <v>3.09</v>
      </c>
      <c r="B5" s="25">
        <v>1.54</v>
      </c>
      <c r="C5" s="25">
        <v>4.28</v>
      </c>
      <c r="D5" s="25">
        <v>1.89</v>
      </c>
      <c r="E5" s="25">
        <v>2.5499999999999998</v>
      </c>
      <c r="F5" s="25">
        <v>2.57</v>
      </c>
      <c r="G5" s="25">
        <v>1.57</v>
      </c>
      <c r="H5" s="25">
        <v>4.18</v>
      </c>
      <c r="I5" s="25">
        <v>6.05</v>
      </c>
      <c r="J5" s="26"/>
    </row>
    <row r="6" spans="1:10" ht="15.75" x14ac:dyDescent="0.25">
      <c r="A6" s="35">
        <v>2.87</v>
      </c>
      <c r="B6" s="36">
        <v>1.5</v>
      </c>
      <c r="C6" s="36">
        <v>4.2300000000000004</v>
      </c>
      <c r="D6" s="36">
        <v>1.82</v>
      </c>
      <c r="E6" s="36">
        <v>2.5350000000000001</v>
      </c>
      <c r="F6" s="36">
        <v>1.9179999999999999</v>
      </c>
      <c r="G6" s="36">
        <v>1.5249999999999999</v>
      </c>
      <c r="H6" s="36">
        <v>4.78</v>
      </c>
      <c r="I6" s="36">
        <v>2.81</v>
      </c>
      <c r="J6" s="37"/>
    </row>
    <row r="7" spans="1:10" ht="15.75" x14ac:dyDescent="0.25">
      <c r="A7" s="59">
        <v>2.88</v>
      </c>
      <c r="B7" s="60">
        <v>1.56</v>
      </c>
      <c r="C7" s="60">
        <v>4.3049999999999997</v>
      </c>
      <c r="D7" s="60">
        <v>2.02</v>
      </c>
      <c r="E7" s="60">
        <v>1.1599999999999999</v>
      </c>
      <c r="F7" s="60">
        <v>2.57</v>
      </c>
      <c r="G7" s="60">
        <v>0.98</v>
      </c>
      <c r="H7" s="60">
        <v>4.76</v>
      </c>
      <c r="I7" s="60">
        <v>6.06</v>
      </c>
      <c r="J7" s="61"/>
    </row>
    <row r="8" spans="1:10" ht="15.75" x14ac:dyDescent="0.25">
      <c r="A8" s="83">
        <v>2.016</v>
      </c>
      <c r="B8" s="36">
        <v>1.52</v>
      </c>
      <c r="C8" s="36">
        <v>4.29</v>
      </c>
      <c r="D8" s="36">
        <v>2.0249999999999999</v>
      </c>
      <c r="E8" s="36">
        <v>2.56</v>
      </c>
      <c r="F8" s="36">
        <v>1.1399999999999999</v>
      </c>
      <c r="G8" s="36">
        <v>1.56</v>
      </c>
      <c r="H8" s="36">
        <v>2.746</v>
      </c>
      <c r="I8" s="36">
        <v>2.4900000000000002</v>
      </c>
      <c r="J8" s="39"/>
    </row>
    <row r="9" spans="1:10" ht="15.75" x14ac:dyDescent="0.25">
      <c r="A9" s="62">
        <v>2.79</v>
      </c>
      <c r="B9" s="60">
        <v>0.86</v>
      </c>
      <c r="C9" s="60">
        <v>1.08</v>
      </c>
      <c r="D9" s="60">
        <v>1.0900000000000001</v>
      </c>
      <c r="E9" s="60">
        <v>6.96</v>
      </c>
      <c r="F9" s="60">
        <v>2.54</v>
      </c>
      <c r="G9" s="60">
        <v>1.54</v>
      </c>
      <c r="H9" s="60">
        <v>4.72</v>
      </c>
      <c r="I9" s="60">
        <v>6.08</v>
      </c>
      <c r="J9" s="63"/>
    </row>
    <row r="10" spans="1:10" ht="15.75" x14ac:dyDescent="0.25">
      <c r="A10" s="38">
        <v>1.19</v>
      </c>
      <c r="B10" s="36">
        <v>1.54</v>
      </c>
      <c r="C10" s="36">
        <v>4.29</v>
      </c>
      <c r="D10" s="36">
        <v>2.02</v>
      </c>
      <c r="E10" s="36">
        <v>2.5299999999999998</v>
      </c>
      <c r="F10" s="36">
        <v>6.94</v>
      </c>
      <c r="G10" s="36">
        <v>1.53</v>
      </c>
      <c r="H10" s="36">
        <v>1.54</v>
      </c>
      <c r="I10" s="36">
        <v>25.6</v>
      </c>
      <c r="J10" s="39"/>
    </row>
    <row r="11" spans="1:10" ht="15.75" x14ac:dyDescent="0.25">
      <c r="A11" s="62">
        <v>2.94</v>
      </c>
      <c r="B11" s="60">
        <v>1.56</v>
      </c>
      <c r="C11" s="60">
        <v>4.25</v>
      </c>
      <c r="D11" s="60">
        <v>2.15</v>
      </c>
      <c r="E11" s="60">
        <v>0.81</v>
      </c>
      <c r="F11" s="60">
        <v>2.54</v>
      </c>
      <c r="G11" s="60">
        <v>1.57</v>
      </c>
      <c r="H11" s="60">
        <v>2.74</v>
      </c>
      <c r="I11" s="60">
        <v>6.09</v>
      </c>
      <c r="J11" s="63"/>
    </row>
    <row r="12" spans="1:10" ht="15.75" x14ac:dyDescent="0.25">
      <c r="A12" s="38">
        <v>2.84</v>
      </c>
      <c r="B12" s="36">
        <v>1.54</v>
      </c>
      <c r="C12" s="36">
        <v>4.1050000000000004</v>
      </c>
      <c r="D12" s="36">
        <v>2.0699999999999998</v>
      </c>
      <c r="E12" s="36">
        <v>2.56</v>
      </c>
      <c r="F12" s="36">
        <v>0.80600000000000005</v>
      </c>
      <c r="G12" s="36">
        <v>1.53</v>
      </c>
      <c r="H12" s="36">
        <v>4.28</v>
      </c>
      <c r="I12" s="36">
        <v>2.6459999999999999</v>
      </c>
      <c r="J12" s="39"/>
    </row>
    <row r="13" spans="1:10" ht="15.75" x14ac:dyDescent="0.25">
      <c r="A13" s="62">
        <v>2.79</v>
      </c>
      <c r="B13" s="60">
        <v>1.51</v>
      </c>
      <c r="C13" s="60">
        <v>1.59</v>
      </c>
      <c r="D13" s="60">
        <v>2.08</v>
      </c>
      <c r="E13" s="60">
        <v>1.62</v>
      </c>
      <c r="F13" s="60">
        <v>2.58</v>
      </c>
      <c r="G13" s="60">
        <v>0.81399999999999995</v>
      </c>
      <c r="H13" s="60">
        <v>4.82</v>
      </c>
      <c r="I13" s="60">
        <v>6.09</v>
      </c>
      <c r="J13" s="63"/>
    </row>
    <row r="14" spans="1:10" ht="15.75" x14ac:dyDescent="0.25">
      <c r="A14" s="38">
        <v>2.4340000000000002</v>
      </c>
      <c r="B14" s="36">
        <v>1.53</v>
      </c>
      <c r="C14" s="36">
        <v>4.0279999999999996</v>
      </c>
      <c r="D14" s="36">
        <v>1.92</v>
      </c>
      <c r="E14" s="36">
        <v>2.58</v>
      </c>
      <c r="F14" s="36">
        <v>2.56</v>
      </c>
      <c r="G14" s="36">
        <v>1.52</v>
      </c>
      <c r="H14" s="36">
        <v>25.5</v>
      </c>
      <c r="I14" s="36">
        <v>6.08</v>
      </c>
      <c r="J14" s="39"/>
    </row>
    <row r="15" spans="1:10" ht="15.75" x14ac:dyDescent="0.25">
      <c r="A15" s="62">
        <v>2.68</v>
      </c>
      <c r="B15" s="60">
        <v>1.56</v>
      </c>
      <c r="C15" s="60">
        <v>3.9180000000000001</v>
      </c>
      <c r="D15" s="60">
        <v>2.105</v>
      </c>
      <c r="E15" s="60">
        <v>2.56</v>
      </c>
      <c r="F15" s="60">
        <v>2.52</v>
      </c>
      <c r="G15" s="60">
        <v>1.53</v>
      </c>
      <c r="H15" s="60">
        <v>4.8899999999999997</v>
      </c>
      <c r="I15" s="60">
        <v>2.62</v>
      </c>
      <c r="J15" s="63"/>
    </row>
    <row r="16" spans="1:10" ht="15.75" x14ac:dyDescent="0.25">
      <c r="A16" s="55">
        <v>1.62</v>
      </c>
      <c r="B16" s="56">
        <v>0.57599999999999996</v>
      </c>
      <c r="C16" s="56">
        <v>4.22</v>
      </c>
      <c r="D16" s="56">
        <v>1.28</v>
      </c>
      <c r="E16" s="56">
        <v>1.1559999999999999</v>
      </c>
      <c r="F16" s="56">
        <v>1.282</v>
      </c>
      <c r="G16" s="56">
        <v>1.51</v>
      </c>
      <c r="H16" s="56">
        <v>9.2799999999999994</v>
      </c>
      <c r="I16" s="56">
        <v>6.09</v>
      </c>
      <c r="J16" s="57"/>
    </row>
    <row r="17" spans="1:10" ht="15.75" x14ac:dyDescent="0.25">
      <c r="A17" s="66">
        <v>2.58</v>
      </c>
      <c r="B17" s="67">
        <v>1.53</v>
      </c>
      <c r="C17" s="67">
        <v>1.18</v>
      </c>
      <c r="D17" s="67">
        <v>2.2919999999999998</v>
      </c>
      <c r="E17" s="67">
        <v>2.5099999999999998</v>
      </c>
      <c r="F17" s="67">
        <v>2.58</v>
      </c>
      <c r="G17" s="67"/>
      <c r="H17" s="67">
        <v>4.6820000000000004</v>
      </c>
      <c r="I17" s="67">
        <v>2.246</v>
      </c>
      <c r="J17" s="68"/>
    </row>
    <row r="18" spans="1:10" ht="15.75" x14ac:dyDescent="0.25">
      <c r="A18" s="55">
        <v>1.1819999999999999</v>
      </c>
      <c r="B18" s="56">
        <v>1.5249999999999999</v>
      </c>
      <c r="C18" s="56">
        <v>4.28</v>
      </c>
      <c r="D18" s="56">
        <v>2.0699999999999998</v>
      </c>
      <c r="E18" s="56">
        <v>2.56</v>
      </c>
      <c r="F18" s="56">
        <v>2.54</v>
      </c>
      <c r="G18" s="56"/>
      <c r="H18" s="56">
        <v>9.48</v>
      </c>
      <c r="I18" s="56">
        <v>6.0220000000000002</v>
      </c>
      <c r="J18" s="57"/>
    </row>
    <row r="19" spans="1:10" ht="15.75" x14ac:dyDescent="0.25">
      <c r="A19" s="66">
        <v>2.6019999999999999</v>
      </c>
      <c r="B19" s="67">
        <v>1.52</v>
      </c>
      <c r="C19" s="67">
        <v>4.32</v>
      </c>
      <c r="D19" s="67">
        <v>1.97</v>
      </c>
      <c r="E19" s="67"/>
      <c r="F19" s="67"/>
      <c r="G19" s="67"/>
      <c r="H19" s="67">
        <v>4.72</v>
      </c>
      <c r="I19" s="67">
        <v>6.1</v>
      </c>
      <c r="J19" s="68"/>
    </row>
    <row r="20" spans="1:10" ht="15.75" x14ac:dyDescent="0.25">
      <c r="A20" s="55">
        <v>2.625</v>
      </c>
      <c r="B20" s="56">
        <v>1.5049999999999999</v>
      </c>
      <c r="C20" s="56">
        <v>4.38</v>
      </c>
      <c r="D20" s="56">
        <v>1.92</v>
      </c>
      <c r="E20" s="56"/>
      <c r="F20" s="56"/>
      <c r="G20" s="56"/>
      <c r="H20" s="56">
        <v>4.78</v>
      </c>
      <c r="I20" s="56">
        <v>3</v>
      </c>
      <c r="J20" s="57"/>
    </row>
    <row r="21" spans="1:10" ht="15.75" x14ac:dyDescent="0.25">
      <c r="A21" s="66">
        <v>2.57</v>
      </c>
      <c r="B21" s="67"/>
      <c r="C21" s="67">
        <v>4.22</v>
      </c>
      <c r="D21" s="67"/>
      <c r="E21" s="67"/>
      <c r="F21" s="67"/>
      <c r="G21" s="67"/>
      <c r="H21" s="67">
        <v>1.4259999999999999</v>
      </c>
      <c r="I21" s="67">
        <v>1.72</v>
      </c>
      <c r="J21" s="68"/>
    </row>
    <row r="22" spans="1:10" ht="15.75" x14ac:dyDescent="0.25">
      <c r="A22" s="55">
        <v>2.762</v>
      </c>
      <c r="B22" s="56"/>
      <c r="C22" s="56"/>
      <c r="D22" s="56"/>
      <c r="E22" s="56"/>
      <c r="F22" s="56"/>
      <c r="G22" s="56"/>
      <c r="H22" s="56">
        <v>2.81</v>
      </c>
      <c r="I22" s="56">
        <v>6.04</v>
      </c>
      <c r="J22" s="57"/>
    </row>
    <row r="23" spans="1:10" ht="15.75" x14ac:dyDescent="0.25">
      <c r="A23" s="66"/>
      <c r="B23" s="67"/>
      <c r="C23" s="67"/>
      <c r="D23" s="67"/>
      <c r="E23" s="67"/>
      <c r="F23" s="67"/>
      <c r="G23" s="67"/>
      <c r="H23" s="67">
        <v>3.98</v>
      </c>
      <c r="I23" s="67">
        <v>1.7050000000000001</v>
      </c>
      <c r="J23" s="68"/>
    </row>
    <row r="24" spans="1:10" ht="15.75" x14ac:dyDescent="0.25">
      <c r="A24" s="55"/>
      <c r="B24" s="56"/>
      <c r="C24" s="56"/>
      <c r="D24" s="56"/>
      <c r="E24" s="56"/>
      <c r="F24" s="56"/>
      <c r="G24" s="56"/>
      <c r="H24" s="56">
        <v>4.79</v>
      </c>
      <c r="I24" s="56"/>
      <c r="J24" s="57"/>
    </row>
    <row r="25" spans="1:10" ht="15.75" x14ac:dyDescent="0.25">
      <c r="A25" s="66"/>
      <c r="B25" s="67"/>
      <c r="C25" s="67"/>
      <c r="D25" s="67"/>
      <c r="E25" s="67"/>
      <c r="F25" s="67"/>
      <c r="G25" s="67"/>
      <c r="H25" s="67">
        <v>4.72</v>
      </c>
      <c r="I25" s="67"/>
      <c r="J25" s="68"/>
    </row>
    <row r="26" spans="1:10" ht="15.75" x14ac:dyDescent="0.25">
      <c r="A26" s="55"/>
      <c r="B26" s="56"/>
      <c r="C26" s="56"/>
      <c r="D26" s="56"/>
      <c r="E26" s="56"/>
      <c r="F26" s="56"/>
      <c r="G26" s="56"/>
      <c r="H26" s="56">
        <v>4.68</v>
      </c>
      <c r="I26" s="56"/>
      <c r="J26" s="57"/>
    </row>
    <row r="27" spans="1:10" ht="16.5" thickBot="1" x14ac:dyDescent="0.3">
      <c r="A27" s="69"/>
      <c r="B27" s="70"/>
      <c r="C27" s="70"/>
      <c r="D27" s="70"/>
      <c r="E27" s="70"/>
      <c r="F27" s="70"/>
      <c r="G27" s="70"/>
      <c r="H27" s="70"/>
      <c r="I27" s="70"/>
      <c r="J27" s="71"/>
    </row>
    <row r="28" spans="1:10" ht="19.5" thickBot="1" x14ac:dyDescent="0.3">
      <c r="A28" s="5">
        <f>SUM(A2:A27)</f>
        <v>51.920999999999999</v>
      </c>
      <c r="B28" s="5">
        <f>SUM(B2:B27)</f>
        <v>26.906000000000002</v>
      </c>
      <c r="C28" s="5">
        <f t="shared" ref="C28:J28" si="0">SUM(C2:C27)</f>
        <v>73.015999999999991</v>
      </c>
      <c r="D28" s="5">
        <f t="shared" si="0"/>
        <v>35.927</v>
      </c>
      <c r="E28" s="5">
        <f t="shared" si="0"/>
        <v>41.100999999999999</v>
      </c>
      <c r="F28" s="5">
        <f t="shared" si="0"/>
        <v>41.515999999999998</v>
      </c>
      <c r="G28" s="5">
        <f t="shared" si="0"/>
        <v>21.364000000000004</v>
      </c>
      <c r="H28" s="5">
        <f t="shared" si="0"/>
        <v>130.97200000000004</v>
      </c>
      <c r="I28" s="5">
        <f t="shared" si="0"/>
        <v>120.239</v>
      </c>
      <c r="J28" s="5">
        <f t="shared" si="0"/>
        <v>0</v>
      </c>
    </row>
    <row r="29" spans="1:10" ht="15.75" thickBot="1" x14ac:dyDescent="0.3">
      <c r="A29" s="2" t="s">
        <v>1</v>
      </c>
      <c r="B29" s="3" t="s">
        <v>0</v>
      </c>
      <c r="C29" s="2" t="s">
        <v>2</v>
      </c>
      <c r="D29" s="2" t="s">
        <v>25</v>
      </c>
      <c r="E29" s="4" t="s">
        <v>3</v>
      </c>
      <c r="F29" s="2" t="s">
        <v>4</v>
      </c>
      <c r="G29" s="4" t="s">
        <v>5</v>
      </c>
      <c r="H29" s="2" t="s">
        <v>6</v>
      </c>
      <c r="I29" s="4" t="s">
        <v>7</v>
      </c>
      <c r="J29" s="2"/>
    </row>
    <row r="30" spans="1:10" ht="15.75" thickBot="1" x14ac:dyDescent="0.3"/>
    <row r="31" spans="1:10" ht="18.75" x14ac:dyDescent="0.3">
      <c r="A31" s="87" t="s">
        <v>8</v>
      </c>
      <c r="B31" s="88"/>
      <c r="C31" s="88"/>
      <c r="D31" s="88"/>
      <c r="E31" s="87" t="s">
        <v>9</v>
      </c>
      <c r="F31" s="89"/>
      <c r="G31" s="88" t="s">
        <v>10</v>
      </c>
      <c r="H31" s="88"/>
      <c r="I31" s="89"/>
      <c r="J31" s="16"/>
    </row>
    <row r="32" spans="1:10" x14ac:dyDescent="0.25">
      <c r="A32" s="90">
        <f>A28+B28+C28+D28</f>
        <v>187.76999999999998</v>
      </c>
      <c r="B32" s="91"/>
      <c r="C32" s="91"/>
      <c r="D32" s="91"/>
      <c r="E32" s="90">
        <f>E28+F28</f>
        <v>82.61699999999999</v>
      </c>
      <c r="F32" s="94"/>
      <c r="G32" s="96">
        <f>G28+H28+I28</f>
        <v>272.57500000000005</v>
      </c>
      <c r="H32" s="91"/>
      <c r="I32" s="94"/>
      <c r="J32" s="97">
        <f>A32+E32+G32</f>
        <v>542.96199999999999</v>
      </c>
    </row>
    <row r="33" spans="1:10" ht="15.75" thickBot="1" x14ac:dyDescent="0.3">
      <c r="A33" s="92"/>
      <c r="B33" s="93"/>
      <c r="C33" s="93"/>
      <c r="D33" s="93"/>
      <c r="E33" s="92"/>
      <c r="F33" s="95"/>
      <c r="G33" s="93"/>
      <c r="H33" s="93"/>
      <c r="I33" s="95"/>
      <c r="J33" s="98"/>
    </row>
  </sheetData>
  <mergeCells count="8">
    <mergeCell ref="A1:J1"/>
    <mergeCell ref="A31:D31"/>
    <mergeCell ref="E31:F31"/>
    <mergeCell ref="G31:I31"/>
    <mergeCell ref="A32:D33"/>
    <mergeCell ref="E32:F33"/>
    <mergeCell ref="G32:I33"/>
    <mergeCell ref="J32:J33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8149D-4525-4C75-9A14-01B6713B9C04}">
  <dimension ref="A1:J33"/>
  <sheetViews>
    <sheetView workbookViewId="0">
      <selection activeCell="L34" sqref="L34"/>
    </sheetView>
  </sheetViews>
  <sheetFormatPr defaultRowHeight="15" x14ac:dyDescent="0.25"/>
  <cols>
    <col min="1" max="1" width="12.28515625" customWidth="1"/>
    <col min="2" max="2" width="11.140625" customWidth="1"/>
    <col min="3" max="3" width="12.28515625" customWidth="1"/>
    <col min="4" max="4" width="12.42578125" customWidth="1"/>
    <col min="5" max="5" width="12.85546875" customWidth="1"/>
    <col min="6" max="6" width="11.85546875" customWidth="1"/>
    <col min="7" max="7" width="10.7109375" customWidth="1"/>
    <col min="8" max="8" width="12" customWidth="1"/>
    <col min="9" max="9" width="12.140625" customWidth="1"/>
    <col min="10" max="10" width="11.28515625" customWidth="1"/>
  </cols>
  <sheetData>
    <row r="1" spans="1:10" ht="23.25" thickBot="1" x14ac:dyDescent="0.3">
      <c r="A1" s="84" t="s">
        <v>35</v>
      </c>
      <c r="B1" s="85"/>
      <c r="C1" s="85"/>
      <c r="D1" s="85"/>
      <c r="E1" s="85"/>
      <c r="F1" s="85"/>
      <c r="G1" s="85"/>
      <c r="H1" s="85"/>
      <c r="I1" s="85"/>
      <c r="J1" s="86"/>
    </row>
    <row r="2" spans="1:10" ht="15.75" x14ac:dyDescent="0.25">
      <c r="A2" s="31">
        <v>3.04</v>
      </c>
      <c r="B2" s="32">
        <v>1.54</v>
      </c>
      <c r="C2" s="32">
        <v>4.2</v>
      </c>
      <c r="D2" s="32">
        <v>2.0499999999999998</v>
      </c>
      <c r="E2" s="32">
        <v>1.5249999999999999</v>
      </c>
      <c r="F2" s="32">
        <v>1.51</v>
      </c>
      <c r="G2" s="32">
        <v>1.01</v>
      </c>
      <c r="H2" s="32">
        <v>3.2</v>
      </c>
      <c r="I2" s="32">
        <v>3.7</v>
      </c>
      <c r="J2" s="33"/>
    </row>
    <row r="3" spans="1:10" ht="15.75" x14ac:dyDescent="0.25">
      <c r="A3" s="76">
        <v>2.4700000000000002</v>
      </c>
      <c r="B3" s="25">
        <v>1.52</v>
      </c>
      <c r="C3" s="25">
        <v>3.84</v>
      </c>
      <c r="D3" s="25">
        <v>2.02</v>
      </c>
      <c r="E3" s="25">
        <v>2.5299999999999998</v>
      </c>
      <c r="F3" s="25">
        <v>2.5099999999999998</v>
      </c>
      <c r="G3" s="25">
        <v>1.51</v>
      </c>
      <c r="H3" s="25">
        <v>4.05</v>
      </c>
      <c r="I3" s="25">
        <v>6.0449999999999999</v>
      </c>
      <c r="J3" s="26"/>
    </row>
    <row r="4" spans="1:10" ht="15.75" x14ac:dyDescent="0.25">
      <c r="A4" s="77">
        <v>2.99</v>
      </c>
      <c r="B4" s="36">
        <v>1.53</v>
      </c>
      <c r="C4" s="36">
        <v>4.1050000000000004</v>
      </c>
      <c r="D4" s="36">
        <v>2.0299999999999998</v>
      </c>
      <c r="E4" s="36">
        <v>2.5449999999999999</v>
      </c>
      <c r="F4" s="36">
        <v>2.5299999999999998</v>
      </c>
      <c r="G4" s="36">
        <v>1.54</v>
      </c>
      <c r="H4" s="36">
        <v>4.5940000000000003</v>
      </c>
      <c r="I4" s="36">
        <v>6.03</v>
      </c>
      <c r="J4" s="37"/>
    </row>
    <row r="5" spans="1:10" ht="15.75" x14ac:dyDescent="0.25">
      <c r="A5" s="76">
        <v>2.57</v>
      </c>
      <c r="B5" s="25">
        <v>1.52</v>
      </c>
      <c r="C5" s="25">
        <v>3.91</v>
      </c>
      <c r="D5" s="25">
        <v>2.04</v>
      </c>
      <c r="E5" s="25">
        <v>1.105</v>
      </c>
      <c r="F5" s="25">
        <v>1.1200000000000001</v>
      </c>
      <c r="G5" s="25">
        <v>0.82</v>
      </c>
      <c r="H5" s="25">
        <v>2.79</v>
      </c>
      <c r="I5" s="25">
        <v>2.19</v>
      </c>
      <c r="J5" s="26"/>
    </row>
    <row r="6" spans="1:10" ht="15.75" x14ac:dyDescent="0.25">
      <c r="A6" s="35">
        <v>1.0900000000000001</v>
      </c>
      <c r="B6" s="36">
        <v>0.68</v>
      </c>
      <c r="C6" s="36">
        <v>1.0049999999999999</v>
      </c>
      <c r="D6" s="36">
        <v>1.02</v>
      </c>
      <c r="E6" s="36">
        <v>2.58</v>
      </c>
      <c r="F6" s="36">
        <v>2.54</v>
      </c>
      <c r="G6" s="36">
        <v>1.52</v>
      </c>
      <c r="H6" s="36">
        <v>1.42</v>
      </c>
      <c r="I6" s="36">
        <v>6.06</v>
      </c>
      <c r="J6" s="37"/>
    </row>
    <row r="7" spans="1:10" ht="15.75" x14ac:dyDescent="0.25">
      <c r="A7" s="59">
        <v>2.62</v>
      </c>
      <c r="B7" s="60">
        <v>1.54</v>
      </c>
      <c r="C7" s="60">
        <v>4.25</v>
      </c>
      <c r="D7" s="60">
        <v>1.99</v>
      </c>
      <c r="E7" s="60">
        <v>3.98</v>
      </c>
      <c r="F7" s="60">
        <v>4.68</v>
      </c>
      <c r="G7" s="60">
        <v>4.72</v>
      </c>
      <c r="H7" s="60">
        <v>4.45</v>
      </c>
      <c r="I7" s="60">
        <v>10.72</v>
      </c>
      <c r="J7" s="61"/>
    </row>
    <row r="8" spans="1:10" ht="15.75" x14ac:dyDescent="0.25">
      <c r="A8" s="83">
        <v>2.68</v>
      </c>
      <c r="B8" s="36">
        <v>1.52</v>
      </c>
      <c r="C8" s="36">
        <v>4.3600000000000003</v>
      </c>
      <c r="D8" s="36">
        <v>2.0249999999999999</v>
      </c>
      <c r="E8" s="36">
        <v>4.0199999999999996</v>
      </c>
      <c r="F8" s="36">
        <v>3.94</v>
      </c>
      <c r="G8" s="36">
        <v>1.57</v>
      </c>
      <c r="H8" s="36">
        <v>10.257999999999999</v>
      </c>
      <c r="I8" s="36">
        <v>10.84</v>
      </c>
      <c r="J8" s="39"/>
    </row>
    <row r="9" spans="1:10" ht="15.75" x14ac:dyDescent="0.25">
      <c r="A9" s="62">
        <v>2.58</v>
      </c>
      <c r="B9" s="60">
        <v>1.54</v>
      </c>
      <c r="C9" s="60">
        <v>4.3849999999999998</v>
      </c>
      <c r="D9" s="60">
        <v>1.97</v>
      </c>
      <c r="E9" s="60">
        <v>2.5299999999999998</v>
      </c>
      <c r="F9" s="60">
        <v>2.52</v>
      </c>
      <c r="G9" s="60">
        <v>1.53</v>
      </c>
      <c r="H9" s="60">
        <v>11.205</v>
      </c>
      <c r="I9" s="60">
        <v>6.1</v>
      </c>
      <c r="J9" s="63"/>
    </row>
    <row r="10" spans="1:10" ht="15.75" x14ac:dyDescent="0.25">
      <c r="A10" s="38">
        <v>3.22</v>
      </c>
      <c r="B10" s="36">
        <v>0.74</v>
      </c>
      <c r="C10" s="36">
        <v>1.49</v>
      </c>
      <c r="D10" s="36">
        <v>1.08</v>
      </c>
      <c r="E10" s="36">
        <v>2.54</v>
      </c>
      <c r="F10" s="36">
        <v>2.5350000000000001</v>
      </c>
      <c r="G10" s="36">
        <v>0.89</v>
      </c>
      <c r="H10" s="36">
        <v>4.58</v>
      </c>
      <c r="I10" s="36">
        <v>6.1050000000000004</v>
      </c>
      <c r="J10" s="39"/>
    </row>
    <row r="11" spans="1:10" ht="15.75" x14ac:dyDescent="0.25">
      <c r="A11" s="62">
        <v>1.39</v>
      </c>
      <c r="B11" s="60">
        <v>1.53</v>
      </c>
      <c r="C11" s="60">
        <v>4.2300000000000004</v>
      </c>
      <c r="D11" s="60">
        <v>1.98</v>
      </c>
      <c r="E11" s="60">
        <v>1.42</v>
      </c>
      <c r="F11" s="60">
        <v>1.38</v>
      </c>
      <c r="G11" s="60">
        <v>1.52</v>
      </c>
      <c r="H11" s="60">
        <v>4.72</v>
      </c>
      <c r="I11" s="60">
        <v>2.2200000000000002</v>
      </c>
      <c r="J11" s="63"/>
    </row>
    <row r="12" spans="1:10" ht="15.75" x14ac:dyDescent="0.25">
      <c r="A12" s="38">
        <v>2.52</v>
      </c>
      <c r="B12" s="36">
        <v>0.98</v>
      </c>
      <c r="C12" s="36">
        <v>2.38</v>
      </c>
      <c r="D12" s="36">
        <v>2.4500000000000002</v>
      </c>
      <c r="E12" s="36">
        <v>2.54</v>
      </c>
      <c r="F12" s="36">
        <v>2.56</v>
      </c>
      <c r="G12" s="36">
        <v>1.5049999999999999</v>
      </c>
      <c r="H12" s="36">
        <v>2.72</v>
      </c>
      <c r="I12" s="36">
        <v>6.03</v>
      </c>
      <c r="J12" s="39"/>
    </row>
    <row r="13" spans="1:10" ht="15.75" x14ac:dyDescent="0.25">
      <c r="A13" s="62">
        <v>2.72</v>
      </c>
      <c r="B13" s="60">
        <v>1.48</v>
      </c>
      <c r="C13" s="60">
        <v>4.75</v>
      </c>
      <c r="D13" s="60">
        <v>2.02</v>
      </c>
      <c r="E13" s="60">
        <v>4.51</v>
      </c>
      <c r="F13" s="60">
        <v>2.4500000000000002</v>
      </c>
      <c r="G13" s="60">
        <v>1.48</v>
      </c>
      <c r="H13" s="60">
        <v>1.52</v>
      </c>
      <c r="I13" s="60">
        <v>5.95</v>
      </c>
      <c r="J13" s="63"/>
    </row>
    <row r="14" spans="1:10" ht="15.75" x14ac:dyDescent="0.25">
      <c r="A14" s="38">
        <v>2.74</v>
      </c>
      <c r="B14" s="36">
        <v>1.5049999999999999</v>
      </c>
      <c r="C14" s="36">
        <v>6.0780000000000003</v>
      </c>
      <c r="D14" s="36">
        <v>1.94</v>
      </c>
      <c r="E14" s="36">
        <v>2.57</v>
      </c>
      <c r="F14" s="36">
        <v>2.6</v>
      </c>
      <c r="G14" s="36">
        <v>1.52</v>
      </c>
      <c r="H14" s="36">
        <v>4.68</v>
      </c>
      <c r="I14" s="36">
        <v>6.09</v>
      </c>
      <c r="J14" s="39"/>
    </row>
    <row r="15" spans="1:10" ht="15.75" x14ac:dyDescent="0.25">
      <c r="A15" s="62">
        <v>2.68</v>
      </c>
      <c r="B15" s="60">
        <v>1.53</v>
      </c>
      <c r="C15" s="60">
        <v>1.92</v>
      </c>
      <c r="D15" s="60">
        <v>1.92</v>
      </c>
      <c r="E15" s="60">
        <v>2.56</v>
      </c>
      <c r="F15" s="60">
        <v>2.58</v>
      </c>
      <c r="G15" s="60">
        <v>0.89</v>
      </c>
      <c r="H15" s="60">
        <v>1.23</v>
      </c>
      <c r="I15" s="60">
        <v>6.06</v>
      </c>
      <c r="J15" s="63"/>
    </row>
    <row r="16" spans="1:10" ht="15.75" x14ac:dyDescent="0.25">
      <c r="A16" s="55">
        <v>1.28</v>
      </c>
      <c r="B16" s="56">
        <v>0.65</v>
      </c>
      <c r="C16" s="56">
        <v>4.38</v>
      </c>
      <c r="D16" s="56">
        <v>1.22</v>
      </c>
      <c r="E16" s="56">
        <v>1.28</v>
      </c>
      <c r="F16" s="56">
        <v>1.24</v>
      </c>
      <c r="G16" s="56">
        <v>1.51</v>
      </c>
      <c r="H16" s="56">
        <v>4.6900000000000004</v>
      </c>
      <c r="I16" s="56">
        <v>2.52</v>
      </c>
      <c r="J16" s="57"/>
    </row>
    <row r="17" spans="1:10" ht="15.75" x14ac:dyDescent="0.25">
      <c r="A17" s="66">
        <v>2.72</v>
      </c>
      <c r="B17" s="67">
        <v>1.5249999999999999</v>
      </c>
      <c r="C17" s="67">
        <v>1.2450000000000001</v>
      </c>
      <c r="D17" s="67">
        <v>1.98</v>
      </c>
      <c r="E17" s="67">
        <v>2.56</v>
      </c>
      <c r="F17" s="67">
        <v>2.54</v>
      </c>
      <c r="G17" s="67">
        <v>4.4800000000000004</v>
      </c>
      <c r="H17" s="67">
        <v>4.58</v>
      </c>
      <c r="I17" s="67">
        <v>6.0449999999999999</v>
      </c>
      <c r="J17" s="68"/>
    </row>
    <row r="18" spans="1:10" ht="15.75" x14ac:dyDescent="0.25">
      <c r="A18" s="55">
        <v>2.7050000000000001</v>
      </c>
      <c r="B18" s="56">
        <v>1.54</v>
      </c>
      <c r="C18" s="56">
        <v>4.3099999999999996</v>
      </c>
      <c r="D18" s="56">
        <v>2.02</v>
      </c>
      <c r="E18" s="56">
        <v>7.3959999999999999</v>
      </c>
      <c r="F18" s="56">
        <v>7.01</v>
      </c>
      <c r="G18" s="56">
        <v>1.5149999999999999</v>
      </c>
      <c r="H18" s="56">
        <v>4.62</v>
      </c>
      <c r="I18" s="56">
        <v>6.0250000000000004</v>
      </c>
      <c r="J18" s="57"/>
    </row>
    <row r="19" spans="1:10" ht="15.75" x14ac:dyDescent="0.25">
      <c r="A19" s="66">
        <v>2.58</v>
      </c>
      <c r="B19" s="67">
        <v>1.53</v>
      </c>
      <c r="C19" s="67">
        <v>4.49</v>
      </c>
      <c r="D19" s="67">
        <v>2.0499999999999998</v>
      </c>
      <c r="E19" s="67">
        <v>2.5449999999999999</v>
      </c>
      <c r="F19" s="67">
        <v>2.56</v>
      </c>
      <c r="G19" s="67">
        <v>1.52</v>
      </c>
      <c r="H19" s="67">
        <v>4.57</v>
      </c>
      <c r="I19" s="67">
        <v>5.2</v>
      </c>
      <c r="J19" s="68"/>
    </row>
    <row r="20" spans="1:10" ht="15.75" x14ac:dyDescent="0.25">
      <c r="A20" s="55">
        <v>1.01</v>
      </c>
      <c r="B20" s="56">
        <v>1.5449999999999999</v>
      </c>
      <c r="C20" s="56">
        <v>4.25</v>
      </c>
      <c r="D20" s="56">
        <v>2.0299999999999998</v>
      </c>
      <c r="E20" s="56">
        <v>2.52</v>
      </c>
      <c r="F20" s="56">
        <v>2.5</v>
      </c>
      <c r="G20" s="56">
        <v>0.8</v>
      </c>
      <c r="H20" s="56">
        <v>4.68</v>
      </c>
      <c r="I20" s="56">
        <v>6.05</v>
      </c>
      <c r="J20" s="57"/>
    </row>
    <row r="21" spans="1:10" ht="15.75" x14ac:dyDescent="0.25">
      <c r="A21" s="66">
        <v>2.68</v>
      </c>
      <c r="B21" s="67">
        <v>1.52</v>
      </c>
      <c r="C21" s="67">
        <v>4.21</v>
      </c>
      <c r="D21" s="67">
        <v>2.04</v>
      </c>
      <c r="E21" s="67">
        <v>1.0900000000000001</v>
      </c>
      <c r="F21" s="67">
        <v>1.1000000000000001</v>
      </c>
      <c r="G21" s="67">
        <v>1.5149999999999999</v>
      </c>
      <c r="H21" s="67">
        <v>4.72</v>
      </c>
      <c r="I21" s="67">
        <v>2.25</v>
      </c>
      <c r="J21" s="68"/>
    </row>
    <row r="22" spans="1:10" ht="15.75" x14ac:dyDescent="0.25">
      <c r="A22" s="55">
        <v>2.66</v>
      </c>
      <c r="B22" s="56">
        <v>1.53</v>
      </c>
      <c r="C22" s="56">
        <v>4.1900000000000004</v>
      </c>
      <c r="D22" s="56">
        <v>1.98</v>
      </c>
      <c r="E22" s="56">
        <v>2.54</v>
      </c>
      <c r="F22" s="56">
        <v>2.5299999999999998</v>
      </c>
      <c r="G22" s="56"/>
      <c r="H22" s="56">
        <v>1.48</v>
      </c>
      <c r="I22" s="56">
        <v>6.06</v>
      </c>
      <c r="J22" s="57"/>
    </row>
    <row r="23" spans="1:10" ht="15.75" x14ac:dyDescent="0.25">
      <c r="A23" s="66">
        <v>2.68</v>
      </c>
      <c r="B23" s="67"/>
      <c r="C23" s="67">
        <v>4.33</v>
      </c>
      <c r="D23" s="67"/>
      <c r="E23" s="67"/>
      <c r="F23" s="67"/>
      <c r="G23" s="67"/>
      <c r="H23" s="67">
        <v>4.6100000000000003</v>
      </c>
      <c r="I23" s="67"/>
      <c r="J23" s="68"/>
    </row>
    <row r="24" spans="1:10" ht="15.75" x14ac:dyDescent="0.25">
      <c r="A24" s="55"/>
      <c r="B24" s="56"/>
      <c r="C24" s="56"/>
      <c r="D24" s="56"/>
      <c r="E24" s="56"/>
      <c r="F24" s="56"/>
      <c r="G24" s="56"/>
      <c r="H24" s="56"/>
      <c r="I24" s="56"/>
      <c r="J24" s="57"/>
    </row>
    <row r="25" spans="1:10" ht="15.75" x14ac:dyDescent="0.25">
      <c r="A25" s="66"/>
      <c r="B25" s="67"/>
      <c r="C25" s="67"/>
      <c r="D25" s="67"/>
      <c r="E25" s="67"/>
      <c r="F25" s="67"/>
      <c r="G25" s="67"/>
      <c r="H25" s="67"/>
      <c r="I25" s="67"/>
      <c r="J25" s="68"/>
    </row>
    <row r="26" spans="1:10" ht="15.75" x14ac:dyDescent="0.25">
      <c r="A26" s="55"/>
      <c r="B26" s="56"/>
      <c r="C26" s="56"/>
      <c r="D26" s="56"/>
      <c r="E26" s="56"/>
      <c r="F26" s="56"/>
      <c r="G26" s="56"/>
      <c r="H26" s="56"/>
      <c r="I26" s="56"/>
      <c r="J26" s="57"/>
    </row>
    <row r="27" spans="1:10" ht="16.5" thickBot="1" x14ac:dyDescent="0.3">
      <c r="A27" s="69"/>
      <c r="B27" s="70"/>
      <c r="C27" s="70"/>
      <c r="D27" s="70"/>
      <c r="E27" s="70"/>
      <c r="F27" s="70"/>
      <c r="G27" s="70"/>
      <c r="H27" s="70"/>
      <c r="I27" s="70"/>
      <c r="J27" s="71"/>
    </row>
    <row r="28" spans="1:10" ht="19.5" thickBot="1" x14ac:dyDescent="0.3">
      <c r="A28" s="5">
        <f>SUM(A2:A27)</f>
        <v>53.624999999999993</v>
      </c>
      <c r="B28" s="5">
        <f>SUM(B2:B27)</f>
        <v>28.994999999999994</v>
      </c>
      <c r="C28" s="5">
        <f t="shared" ref="C28:J28" si="0">SUM(C2:C27)</f>
        <v>82.307999999999993</v>
      </c>
      <c r="D28" s="5">
        <f t="shared" si="0"/>
        <v>39.854999999999997</v>
      </c>
      <c r="E28" s="5">
        <f t="shared" si="0"/>
        <v>56.88600000000001</v>
      </c>
      <c r="F28" s="5">
        <f t="shared" si="0"/>
        <v>54.934999999999995</v>
      </c>
      <c r="G28" s="5">
        <f t="shared" si="0"/>
        <v>33.365000000000002</v>
      </c>
      <c r="H28" s="5">
        <f t="shared" si="0"/>
        <v>95.367000000000019</v>
      </c>
      <c r="I28" s="5">
        <f t="shared" si="0"/>
        <v>118.29000000000002</v>
      </c>
      <c r="J28" s="5">
        <f t="shared" si="0"/>
        <v>0</v>
      </c>
    </row>
    <row r="29" spans="1:10" ht="15.75" thickBot="1" x14ac:dyDescent="0.3">
      <c r="A29" s="2" t="s">
        <v>1</v>
      </c>
      <c r="B29" s="3" t="s">
        <v>0</v>
      </c>
      <c r="C29" s="2" t="s">
        <v>2</v>
      </c>
      <c r="D29" s="2" t="s">
        <v>25</v>
      </c>
      <c r="E29" s="4" t="s">
        <v>3</v>
      </c>
      <c r="F29" s="2" t="s">
        <v>4</v>
      </c>
      <c r="G29" s="4" t="s">
        <v>5</v>
      </c>
      <c r="H29" s="2" t="s">
        <v>6</v>
      </c>
      <c r="I29" s="4" t="s">
        <v>7</v>
      </c>
      <c r="J29" s="2"/>
    </row>
    <row r="30" spans="1:10" ht="15.75" thickBot="1" x14ac:dyDescent="0.3"/>
    <row r="31" spans="1:10" ht="18.75" x14ac:dyDescent="0.3">
      <c r="A31" s="87" t="s">
        <v>8</v>
      </c>
      <c r="B31" s="88"/>
      <c r="C31" s="88"/>
      <c r="D31" s="88"/>
      <c r="E31" s="87" t="s">
        <v>9</v>
      </c>
      <c r="F31" s="89"/>
      <c r="G31" s="88" t="s">
        <v>10</v>
      </c>
      <c r="H31" s="88"/>
      <c r="I31" s="89"/>
      <c r="J31" s="16"/>
    </row>
    <row r="32" spans="1:10" x14ac:dyDescent="0.25">
      <c r="A32" s="90">
        <f>A28+B28+C28+D28</f>
        <v>204.78299999999999</v>
      </c>
      <c r="B32" s="91"/>
      <c r="C32" s="91"/>
      <c r="D32" s="91"/>
      <c r="E32" s="90">
        <f>E28+F28</f>
        <v>111.821</v>
      </c>
      <c r="F32" s="94"/>
      <c r="G32" s="96">
        <f>G28+H28+I28</f>
        <v>247.02200000000005</v>
      </c>
      <c r="H32" s="91"/>
      <c r="I32" s="94"/>
      <c r="J32" s="97">
        <f>A32+E32+G32</f>
        <v>563.62599999999998</v>
      </c>
    </row>
    <row r="33" spans="1:10" ht="15.75" thickBot="1" x14ac:dyDescent="0.3">
      <c r="A33" s="92"/>
      <c r="B33" s="93"/>
      <c r="C33" s="93"/>
      <c r="D33" s="93"/>
      <c r="E33" s="92"/>
      <c r="F33" s="95"/>
      <c r="G33" s="93"/>
      <c r="H33" s="93"/>
      <c r="I33" s="95"/>
      <c r="J33" s="98"/>
    </row>
  </sheetData>
  <mergeCells count="8">
    <mergeCell ref="A1:J1"/>
    <mergeCell ref="A31:D31"/>
    <mergeCell ref="E31:F31"/>
    <mergeCell ref="G31:I31"/>
    <mergeCell ref="A32:D33"/>
    <mergeCell ref="E32:F33"/>
    <mergeCell ref="G32:I33"/>
    <mergeCell ref="J32:J33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28FC0-6DCE-424A-AEB9-277C58172270}">
  <dimension ref="A1:K33"/>
  <sheetViews>
    <sheetView workbookViewId="0">
      <selection activeCell="J2" sqref="J2"/>
    </sheetView>
  </sheetViews>
  <sheetFormatPr defaultRowHeight="15" x14ac:dyDescent="0.25"/>
  <cols>
    <col min="1" max="1" width="16.42578125" customWidth="1"/>
    <col min="2" max="2" width="12.28515625" customWidth="1"/>
    <col min="3" max="3" width="11.140625" customWidth="1"/>
    <col min="4" max="4" width="12.28515625" customWidth="1"/>
    <col min="5" max="5" width="12.42578125" customWidth="1"/>
    <col min="6" max="6" width="12.85546875" customWidth="1"/>
    <col min="7" max="7" width="11.85546875" customWidth="1"/>
    <col min="8" max="8" width="10.7109375" customWidth="1"/>
    <col min="9" max="9" width="12" customWidth="1"/>
    <col min="10" max="10" width="12.140625" customWidth="1"/>
    <col min="11" max="11" width="11.28515625" customWidth="1"/>
  </cols>
  <sheetData>
    <row r="1" spans="1:11" ht="23.25" thickBot="1" x14ac:dyDescent="0.3">
      <c r="A1" s="44" t="s">
        <v>14</v>
      </c>
      <c r="B1" s="84" t="s">
        <v>36</v>
      </c>
      <c r="C1" s="85"/>
      <c r="D1" s="85"/>
      <c r="E1" s="85"/>
      <c r="F1" s="85"/>
      <c r="G1" s="85"/>
      <c r="H1" s="85"/>
      <c r="I1" s="85"/>
      <c r="J1" s="85"/>
      <c r="K1" s="86"/>
    </row>
    <row r="2" spans="1:11" ht="16.5" thickBot="1" x14ac:dyDescent="0.3">
      <c r="A2" s="78"/>
      <c r="B2" s="31"/>
      <c r="C2" s="32"/>
      <c r="D2" s="32"/>
      <c r="E2" s="32"/>
      <c r="F2" s="32"/>
      <c r="G2" s="32"/>
      <c r="H2" s="32"/>
      <c r="I2" s="32"/>
      <c r="J2" s="32"/>
      <c r="K2" s="33"/>
    </row>
    <row r="3" spans="1:11" ht="16.5" thickBot="1" x14ac:dyDescent="0.3">
      <c r="A3" s="80"/>
      <c r="B3" s="76"/>
      <c r="C3" s="25"/>
      <c r="D3" s="25"/>
      <c r="E3" s="25"/>
      <c r="F3" s="25"/>
      <c r="G3" s="25"/>
      <c r="H3" s="25"/>
      <c r="I3" s="25"/>
      <c r="J3" s="25"/>
      <c r="K3" s="26"/>
    </row>
    <row r="4" spans="1:11" ht="16.5" thickBot="1" x14ac:dyDescent="0.3">
      <c r="A4" s="78"/>
      <c r="B4" s="77"/>
      <c r="C4" s="36"/>
      <c r="D4" s="36"/>
      <c r="E4" s="36"/>
      <c r="F4" s="36"/>
      <c r="G4" s="36"/>
      <c r="H4" s="36"/>
      <c r="I4" s="36"/>
      <c r="J4" s="36"/>
      <c r="K4" s="37"/>
    </row>
    <row r="5" spans="1:11" ht="16.5" thickBot="1" x14ac:dyDescent="0.3">
      <c r="A5" s="80"/>
      <c r="B5" s="76"/>
      <c r="C5" s="25"/>
      <c r="D5" s="25"/>
      <c r="E5" s="25"/>
      <c r="F5" s="25"/>
      <c r="G5" s="25"/>
      <c r="H5" s="25"/>
      <c r="I5" s="25"/>
      <c r="J5" s="25"/>
      <c r="K5" s="26"/>
    </row>
    <row r="6" spans="1:11" ht="16.5" thickBot="1" x14ac:dyDescent="0.3">
      <c r="A6" s="78"/>
      <c r="B6" s="35"/>
      <c r="C6" s="36"/>
      <c r="D6" s="36"/>
      <c r="E6" s="36"/>
      <c r="F6" s="36"/>
      <c r="G6" s="36"/>
      <c r="H6" s="36"/>
      <c r="I6" s="36"/>
      <c r="J6" s="36"/>
      <c r="K6" s="37"/>
    </row>
    <row r="7" spans="1:11" ht="16.5" thickBot="1" x14ac:dyDescent="0.3">
      <c r="A7" s="80"/>
      <c r="B7" s="59"/>
      <c r="C7" s="60"/>
      <c r="D7" s="60"/>
      <c r="E7" s="60"/>
      <c r="F7" s="60"/>
      <c r="G7" s="60"/>
      <c r="H7" s="60"/>
      <c r="I7" s="60"/>
      <c r="J7" s="60"/>
      <c r="K7" s="61"/>
    </row>
    <row r="8" spans="1:11" ht="16.5" thickBot="1" x14ac:dyDescent="0.3">
      <c r="A8" s="78"/>
      <c r="B8" s="38"/>
      <c r="C8" s="36"/>
      <c r="D8" s="36"/>
      <c r="E8" s="36"/>
      <c r="F8" s="36"/>
      <c r="G8" s="36"/>
      <c r="H8" s="36"/>
      <c r="I8" s="36"/>
      <c r="J8" s="36"/>
      <c r="K8" s="39"/>
    </row>
    <row r="9" spans="1:11" ht="16.5" thickBot="1" x14ac:dyDescent="0.3">
      <c r="A9" s="80"/>
      <c r="B9" s="62"/>
      <c r="C9" s="60"/>
      <c r="D9" s="60"/>
      <c r="E9" s="60"/>
      <c r="F9" s="60"/>
      <c r="G9" s="60"/>
      <c r="H9" s="60"/>
      <c r="I9" s="60"/>
      <c r="J9" s="60"/>
      <c r="K9" s="63"/>
    </row>
    <row r="10" spans="1:11" ht="16.5" thickBot="1" x14ac:dyDescent="0.3">
      <c r="A10" s="78"/>
      <c r="B10" s="38"/>
      <c r="C10" s="36"/>
      <c r="D10" s="36"/>
      <c r="E10" s="36"/>
      <c r="F10" s="36"/>
      <c r="G10" s="36"/>
      <c r="H10" s="36"/>
      <c r="I10" s="36"/>
      <c r="J10" s="36"/>
      <c r="K10" s="39"/>
    </row>
    <row r="11" spans="1:11" ht="16.5" thickBot="1" x14ac:dyDescent="0.3">
      <c r="A11" s="80"/>
      <c r="B11" s="62"/>
      <c r="C11" s="60"/>
      <c r="D11" s="60"/>
      <c r="E11" s="60"/>
      <c r="F11" s="60"/>
      <c r="G11" s="60"/>
      <c r="H11" s="60"/>
      <c r="I11" s="60"/>
      <c r="J11" s="60"/>
      <c r="K11" s="63"/>
    </row>
    <row r="12" spans="1:11" ht="16.5" thickBot="1" x14ac:dyDescent="0.3">
      <c r="A12" s="78"/>
      <c r="B12" s="38"/>
      <c r="C12" s="36"/>
      <c r="D12" s="36"/>
      <c r="E12" s="36"/>
      <c r="F12" s="36"/>
      <c r="G12" s="36"/>
      <c r="H12" s="36"/>
      <c r="I12" s="36"/>
      <c r="J12" s="36"/>
      <c r="K12" s="39"/>
    </row>
    <row r="13" spans="1:11" ht="16.5" thickBot="1" x14ac:dyDescent="0.3">
      <c r="A13" s="80"/>
      <c r="B13" s="62"/>
      <c r="C13" s="60"/>
      <c r="D13" s="60"/>
      <c r="E13" s="60"/>
      <c r="F13" s="60"/>
      <c r="G13" s="60"/>
      <c r="H13" s="60"/>
      <c r="I13" s="60"/>
      <c r="J13" s="60"/>
      <c r="K13" s="63"/>
    </row>
    <row r="14" spans="1:11" ht="16.5" thickBot="1" x14ac:dyDescent="0.3">
      <c r="A14" s="78"/>
      <c r="B14" s="38"/>
      <c r="C14" s="36"/>
      <c r="D14" s="36"/>
      <c r="E14" s="36"/>
      <c r="F14" s="36"/>
      <c r="G14" s="36"/>
      <c r="H14" s="36"/>
      <c r="I14" s="36"/>
      <c r="J14" s="36"/>
      <c r="K14" s="39"/>
    </row>
    <row r="15" spans="1:11" ht="16.5" thickBot="1" x14ac:dyDescent="0.3">
      <c r="A15" s="80"/>
      <c r="B15" s="62"/>
      <c r="C15" s="60"/>
      <c r="D15" s="60"/>
      <c r="E15" s="60"/>
      <c r="F15" s="60"/>
      <c r="G15" s="60"/>
      <c r="H15" s="60"/>
      <c r="I15" s="60"/>
      <c r="J15" s="60"/>
      <c r="K15" s="63"/>
    </row>
    <row r="16" spans="1:11" ht="16.5" thickBot="1" x14ac:dyDescent="0.3">
      <c r="A16" s="78"/>
      <c r="B16" s="55"/>
      <c r="C16" s="56"/>
      <c r="D16" s="56"/>
      <c r="E16" s="56"/>
      <c r="F16" s="56"/>
      <c r="G16" s="56"/>
      <c r="H16" s="56"/>
      <c r="I16" s="56"/>
      <c r="J16" s="56"/>
      <c r="K16" s="57"/>
    </row>
    <row r="17" spans="1:11" ht="15.75" x14ac:dyDescent="0.25">
      <c r="A17" s="80"/>
      <c r="B17" s="66"/>
      <c r="C17" s="67"/>
      <c r="D17" s="67"/>
      <c r="E17" s="67"/>
      <c r="F17" s="67"/>
      <c r="G17" s="67"/>
      <c r="H17" s="67"/>
      <c r="I17" s="67"/>
      <c r="J17" s="67"/>
      <c r="K17" s="68"/>
    </row>
    <row r="18" spans="1:11" ht="15.75" x14ac:dyDescent="0.25">
      <c r="A18" s="30"/>
      <c r="B18" s="55"/>
      <c r="C18" s="56"/>
      <c r="D18" s="56"/>
      <c r="E18" s="56"/>
      <c r="F18" s="56"/>
      <c r="G18" s="56"/>
      <c r="H18" s="56"/>
      <c r="I18" s="56"/>
      <c r="J18" s="56"/>
      <c r="K18" s="57"/>
    </row>
    <row r="19" spans="1:11" ht="15.75" x14ac:dyDescent="0.25">
      <c r="A19" s="29"/>
      <c r="B19" s="66"/>
      <c r="C19" s="67"/>
      <c r="D19" s="67"/>
      <c r="E19" s="67"/>
      <c r="F19" s="67"/>
      <c r="G19" s="67"/>
      <c r="H19" s="67"/>
      <c r="I19" s="67"/>
      <c r="J19" s="67"/>
      <c r="K19" s="68"/>
    </row>
    <row r="20" spans="1:11" ht="15.75" x14ac:dyDescent="0.25">
      <c r="A20" s="30"/>
      <c r="B20" s="55"/>
      <c r="C20" s="56"/>
      <c r="D20" s="56"/>
      <c r="E20" s="56"/>
      <c r="F20" s="56"/>
      <c r="G20" s="56"/>
      <c r="H20" s="56"/>
      <c r="I20" s="56"/>
      <c r="J20" s="56"/>
      <c r="K20" s="57"/>
    </row>
    <row r="21" spans="1:11" ht="15.75" x14ac:dyDescent="0.25">
      <c r="A21" s="29"/>
      <c r="B21" s="66"/>
      <c r="C21" s="67"/>
      <c r="D21" s="67"/>
      <c r="E21" s="67"/>
      <c r="F21" s="67"/>
      <c r="G21" s="67"/>
      <c r="H21" s="67"/>
      <c r="I21" s="67"/>
      <c r="J21" s="67"/>
      <c r="K21" s="68"/>
    </row>
    <row r="22" spans="1:11" ht="15.75" x14ac:dyDescent="0.25">
      <c r="A22" s="30"/>
      <c r="B22" s="55"/>
      <c r="C22" s="56"/>
      <c r="D22" s="56"/>
      <c r="E22" s="56"/>
      <c r="F22" s="56"/>
      <c r="G22" s="56"/>
      <c r="H22" s="56"/>
      <c r="I22" s="56"/>
      <c r="J22" s="56"/>
      <c r="K22" s="57"/>
    </row>
    <row r="23" spans="1:11" ht="15.75" x14ac:dyDescent="0.25">
      <c r="A23" s="29"/>
      <c r="B23" s="66"/>
      <c r="C23" s="67"/>
      <c r="D23" s="67"/>
      <c r="E23" s="67"/>
      <c r="F23" s="67"/>
      <c r="G23" s="67"/>
      <c r="H23" s="67"/>
      <c r="I23" s="67"/>
      <c r="J23" s="67"/>
      <c r="K23" s="68"/>
    </row>
    <row r="24" spans="1:11" ht="15.75" x14ac:dyDescent="0.25">
      <c r="A24" s="30"/>
      <c r="B24" s="55"/>
      <c r="C24" s="56"/>
      <c r="D24" s="56"/>
      <c r="E24" s="56"/>
      <c r="F24" s="56"/>
      <c r="G24" s="56"/>
      <c r="H24" s="56"/>
      <c r="I24" s="56"/>
      <c r="J24" s="56"/>
      <c r="K24" s="57"/>
    </row>
    <row r="25" spans="1:11" ht="15.75" x14ac:dyDescent="0.25">
      <c r="A25" s="29"/>
      <c r="B25" s="66"/>
      <c r="C25" s="67"/>
      <c r="D25" s="67"/>
      <c r="E25" s="67"/>
      <c r="F25" s="67"/>
      <c r="G25" s="67"/>
      <c r="H25" s="67"/>
      <c r="I25" s="67"/>
      <c r="J25" s="67"/>
      <c r="K25" s="68"/>
    </row>
    <row r="26" spans="1:11" ht="15.75" x14ac:dyDescent="0.25">
      <c r="A26" s="30"/>
      <c r="B26" s="55"/>
      <c r="C26" s="56"/>
      <c r="D26" s="56"/>
      <c r="E26" s="56"/>
      <c r="F26" s="56"/>
      <c r="G26" s="56"/>
      <c r="H26" s="56"/>
      <c r="I26" s="56"/>
      <c r="J26" s="56"/>
      <c r="K26" s="57"/>
    </row>
    <row r="27" spans="1:11" ht="16.5" thickBot="1" x14ac:dyDescent="0.3">
      <c r="A27" s="79"/>
      <c r="B27" s="69"/>
      <c r="C27" s="70"/>
      <c r="D27" s="70"/>
      <c r="E27" s="70"/>
      <c r="F27" s="70"/>
      <c r="G27" s="70"/>
      <c r="H27" s="70"/>
      <c r="I27" s="70"/>
      <c r="J27" s="70"/>
      <c r="K27" s="71"/>
    </row>
    <row r="28" spans="1:11" ht="19.5" thickBot="1" x14ac:dyDescent="0.3">
      <c r="B28" s="5">
        <f t="shared" ref="B28:J28" si="0">SUM(B2:B27)</f>
        <v>0</v>
      </c>
      <c r="C28" s="5">
        <f t="shared" si="0"/>
        <v>0</v>
      </c>
      <c r="D28" s="5">
        <f t="shared" si="0"/>
        <v>0</v>
      </c>
      <c r="E28" s="5">
        <f t="shared" si="0"/>
        <v>0</v>
      </c>
      <c r="F28" s="5">
        <f>SUM(F2:F27)</f>
        <v>0</v>
      </c>
      <c r="G28" s="5">
        <f>SUM(G2:G27)</f>
        <v>0</v>
      </c>
      <c r="H28" s="5">
        <f t="shared" si="0"/>
        <v>0</v>
      </c>
      <c r="I28" s="5">
        <f t="shared" si="0"/>
        <v>0</v>
      </c>
      <c r="J28" s="5">
        <f t="shared" si="0"/>
        <v>0</v>
      </c>
      <c r="K28" s="5">
        <f t="shared" ref="K28" si="1">SUM(K4:K27)</f>
        <v>0</v>
      </c>
    </row>
    <row r="29" spans="1:11" ht="15.75" thickBot="1" x14ac:dyDescent="0.3">
      <c r="B29" s="2" t="s">
        <v>0</v>
      </c>
      <c r="C29" s="3" t="s">
        <v>1</v>
      </c>
      <c r="D29" s="2" t="s">
        <v>2</v>
      </c>
      <c r="E29" s="2" t="s">
        <v>25</v>
      </c>
      <c r="F29" s="4" t="s">
        <v>3</v>
      </c>
      <c r="G29" s="2" t="s">
        <v>4</v>
      </c>
      <c r="H29" s="4" t="s">
        <v>5</v>
      </c>
      <c r="I29" s="2" t="s">
        <v>6</v>
      </c>
      <c r="J29" s="4" t="s">
        <v>7</v>
      </c>
      <c r="K29" s="2" t="s">
        <v>41</v>
      </c>
    </row>
    <row r="30" spans="1:11" ht="15.75" thickBot="1" x14ac:dyDescent="0.3"/>
    <row r="31" spans="1:11" ht="18.75" x14ac:dyDescent="0.3">
      <c r="B31" s="87" t="s">
        <v>8</v>
      </c>
      <c r="C31" s="88"/>
      <c r="D31" s="88"/>
      <c r="E31" s="88"/>
      <c r="F31" s="87" t="s">
        <v>9</v>
      </c>
      <c r="G31" s="89"/>
      <c r="H31" s="88" t="s">
        <v>10</v>
      </c>
      <c r="I31" s="88"/>
      <c r="J31" s="89"/>
      <c r="K31" s="16"/>
    </row>
    <row r="32" spans="1:11" ht="15" customHeight="1" x14ac:dyDescent="0.25">
      <c r="B32" s="90">
        <f>B28+C28+D28+E28</f>
        <v>0</v>
      </c>
      <c r="C32" s="91"/>
      <c r="D32" s="91"/>
      <c r="E32" s="91"/>
      <c r="F32" s="90">
        <f>F28+G28</f>
        <v>0</v>
      </c>
      <c r="G32" s="94"/>
      <c r="H32" s="96">
        <f>H28+I28+J28</f>
        <v>0</v>
      </c>
      <c r="I32" s="91"/>
      <c r="J32" s="94"/>
      <c r="K32" s="97">
        <f>B32+F32+H32</f>
        <v>0</v>
      </c>
    </row>
    <row r="33" spans="2:11" ht="15.75" customHeight="1" thickBot="1" x14ac:dyDescent="0.3">
      <c r="B33" s="92"/>
      <c r="C33" s="93"/>
      <c r="D33" s="93"/>
      <c r="E33" s="93"/>
      <c r="F33" s="92"/>
      <c r="G33" s="95"/>
      <c r="H33" s="93"/>
      <c r="I33" s="93"/>
      <c r="J33" s="95"/>
      <c r="K33" s="98"/>
    </row>
  </sheetData>
  <mergeCells count="8">
    <mergeCell ref="B1:K1"/>
    <mergeCell ref="B31:E31"/>
    <mergeCell ref="F31:G31"/>
    <mergeCell ref="H31:J31"/>
    <mergeCell ref="B32:E33"/>
    <mergeCell ref="F32:G33"/>
    <mergeCell ref="H32:J33"/>
    <mergeCell ref="K32:K33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EA560-C485-40EA-A097-6D2F4E2B027E}">
  <dimension ref="A1:M37"/>
  <sheetViews>
    <sheetView tabSelected="1" topLeftCell="A22" workbookViewId="0">
      <selection activeCell="M33" sqref="M33"/>
    </sheetView>
  </sheetViews>
  <sheetFormatPr defaultRowHeight="15" x14ac:dyDescent="0.25"/>
  <cols>
    <col min="1" max="1" width="18.28515625" customWidth="1"/>
    <col min="2" max="2" width="11.42578125" customWidth="1"/>
    <col min="3" max="3" width="11.85546875" customWidth="1"/>
    <col min="4" max="4" width="13.140625" customWidth="1"/>
    <col min="5" max="5" width="12.7109375" customWidth="1"/>
    <col min="6" max="6" width="12.42578125" customWidth="1"/>
    <col min="7" max="7" width="12.140625" customWidth="1"/>
    <col min="8" max="8" width="13.140625" customWidth="1"/>
    <col min="9" max="9" width="11.28515625" customWidth="1"/>
    <col min="10" max="10" width="12.42578125" customWidth="1"/>
    <col min="11" max="11" width="13" customWidth="1"/>
  </cols>
  <sheetData>
    <row r="1" spans="1:11" ht="23.25" thickBot="1" x14ac:dyDescent="0.3">
      <c r="A1" s="44" t="s">
        <v>14</v>
      </c>
      <c r="B1" s="84" t="s">
        <v>42</v>
      </c>
      <c r="C1" s="85"/>
      <c r="D1" s="85"/>
      <c r="E1" s="85"/>
      <c r="F1" s="85"/>
      <c r="G1" s="85"/>
      <c r="H1" s="85"/>
      <c r="I1" s="85"/>
      <c r="J1" s="85"/>
      <c r="K1" s="86"/>
    </row>
    <row r="2" spans="1:11" ht="16.5" thickBot="1" x14ac:dyDescent="0.3">
      <c r="A2" s="78"/>
      <c r="B2" s="31">
        <v>1.28</v>
      </c>
      <c r="C2" s="32">
        <v>3.24</v>
      </c>
      <c r="D2" s="32">
        <v>3.94</v>
      </c>
      <c r="E2" s="32">
        <v>2.25</v>
      </c>
      <c r="F2" s="32">
        <v>2.5099999999999998</v>
      </c>
      <c r="G2" s="32">
        <v>2.5049999999999999</v>
      </c>
      <c r="H2" s="32">
        <v>1.51</v>
      </c>
      <c r="I2" s="32">
        <v>5.04</v>
      </c>
      <c r="J2" s="32">
        <v>6.04</v>
      </c>
      <c r="K2" s="33">
        <v>6.32</v>
      </c>
    </row>
    <row r="3" spans="1:11" ht="16.5" thickBot="1" x14ac:dyDescent="0.3">
      <c r="A3" s="80"/>
      <c r="B3" s="76">
        <v>1.24</v>
      </c>
      <c r="C3" s="25">
        <v>3.21</v>
      </c>
      <c r="D3" s="25">
        <v>3.98</v>
      </c>
      <c r="E3" s="25">
        <v>2.2050000000000001</v>
      </c>
      <c r="F3" s="25">
        <v>2.52</v>
      </c>
      <c r="G3" s="25">
        <v>2.52</v>
      </c>
      <c r="H3" s="25">
        <v>1.5249999999999999</v>
      </c>
      <c r="I3" s="25">
        <v>5.08</v>
      </c>
      <c r="J3" s="25">
        <v>6.02</v>
      </c>
      <c r="K3" s="26">
        <v>6.24</v>
      </c>
    </row>
    <row r="4" spans="1:11" ht="16.5" thickBot="1" x14ac:dyDescent="0.3">
      <c r="A4" s="78"/>
      <c r="B4" s="77">
        <v>1.32</v>
      </c>
      <c r="C4" s="36">
        <v>3.26</v>
      </c>
      <c r="D4" s="36">
        <v>4.1100000000000003</v>
      </c>
      <c r="E4" s="36">
        <v>2.4300000000000002</v>
      </c>
      <c r="F4" s="36">
        <v>2.5150000000000001</v>
      </c>
      <c r="G4" s="36">
        <v>2.5249999999999999</v>
      </c>
      <c r="H4" s="36">
        <v>1.5049999999999999</v>
      </c>
      <c r="I4" s="36">
        <v>5.04</v>
      </c>
      <c r="J4" s="36">
        <v>6.01</v>
      </c>
      <c r="K4" s="37">
        <v>6.21</v>
      </c>
    </row>
    <row r="5" spans="1:11" ht="16.5" thickBot="1" x14ac:dyDescent="0.3">
      <c r="A5" s="80"/>
      <c r="B5" s="76">
        <v>1.34</v>
      </c>
      <c r="C5" s="25">
        <v>3.23</v>
      </c>
      <c r="D5" s="25">
        <v>4.08</v>
      </c>
      <c r="E5" s="25">
        <v>2.4049999999999998</v>
      </c>
      <c r="F5" s="25">
        <v>2.52</v>
      </c>
      <c r="G5" s="25">
        <v>2.5150000000000001</v>
      </c>
      <c r="H5" s="25">
        <v>1.51</v>
      </c>
      <c r="I5" s="25">
        <v>5.0199999999999996</v>
      </c>
      <c r="J5" s="25">
        <v>6.03</v>
      </c>
      <c r="K5" s="26">
        <v>6.27</v>
      </c>
    </row>
    <row r="6" spans="1:11" ht="16.5" thickBot="1" x14ac:dyDescent="0.3">
      <c r="A6" s="78"/>
      <c r="B6" s="35">
        <v>1.32</v>
      </c>
      <c r="C6" s="36">
        <v>3.22</v>
      </c>
      <c r="D6" s="36">
        <v>4.09</v>
      </c>
      <c r="E6" s="36">
        <v>2.4</v>
      </c>
      <c r="F6" s="36">
        <v>0.92</v>
      </c>
      <c r="G6" s="36">
        <v>2.56</v>
      </c>
      <c r="H6" s="36">
        <v>1.52</v>
      </c>
      <c r="I6" s="36">
        <v>5.08</v>
      </c>
      <c r="J6" s="36">
        <v>11.28</v>
      </c>
      <c r="K6" s="37">
        <v>5.68</v>
      </c>
    </row>
    <row r="7" spans="1:11" ht="16.5" thickBot="1" x14ac:dyDescent="0.3">
      <c r="A7" s="80"/>
      <c r="B7" s="59">
        <v>1.35</v>
      </c>
      <c r="C7" s="60">
        <v>3.19</v>
      </c>
      <c r="D7" s="60">
        <v>3.99</v>
      </c>
      <c r="E7" s="60">
        <v>2.39</v>
      </c>
      <c r="F7" s="60">
        <v>2.54</v>
      </c>
      <c r="G7" s="60">
        <v>2.54</v>
      </c>
      <c r="H7" s="60">
        <v>1.54</v>
      </c>
      <c r="I7" s="60">
        <v>5.0599999999999996</v>
      </c>
      <c r="J7" s="60">
        <v>6.08</v>
      </c>
      <c r="K7" s="61">
        <v>5.72</v>
      </c>
    </row>
    <row r="8" spans="1:11" ht="16.5" thickBot="1" x14ac:dyDescent="0.3">
      <c r="A8" s="78"/>
      <c r="B8" s="38">
        <v>1.31</v>
      </c>
      <c r="C8" s="36">
        <v>3.2050000000000001</v>
      </c>
      <c r="D8" s="36">
        <v>4.0199999999999996</v>
      </c>
      <c r="E8" s="36">
        <v>2.4049999999999998</v>
      </c>
      <c r="F8" s="36">
        <v>2.52</v>
      </c>
      <c r="G8" s="36">
        <v>2.5099999999999998</v>
      </c>
      <c r="H8" s="36">
        <v>1.52</v>
      </c>
      <c r="I8" s="36">
        <v>5.0199999999999996</v>
      </c>
      <c r="J8" s="36">
        <v>6.06</v>
      </c>
      <c r="K8" s="39">
        <v>5.69</v>
      </c>
    </row>
    <row r="9" spans="1:11" ht="16.5" thickBot="1" x14ac:dyDescent="0.3">
      <c r="A9" s="80"/>
      <c r="B9" s="62">
        <v>1.3</v>
      </c>
      <c r="C9" s="60">
        <v>3.22</v>
      </c>
      <c r="D9" s="60">
        <v>4.08</v>
      </c>
      <c r="E9" s="60">
        <v>2.4</v>
      </c>
      <c r="F9" s="60">
        <v>2.5299999999999998</v>
      </c>
      <c r="G9" s="60">
        <v>2.5049999999999999</v>
      </c>
      <c r="H9" s="60">
        <v>1.51</v>
      </c>
      <c r="I9" s="60">
        <v>5.04</v>
      </c>
      <c r="J9" s="60">
        <v>6.04</v>
      </c>
      <c r="K9" s="63">
        <v>5.69</v>
      </c>
    </row>
    <row r="10" spans="1:11" ht="16.5" thickBot="1" x14ac:dyDescent="0.3">
      <c r="A10" s="78"/>
      <c r="B10" s="38">
        <v>1.3049999999999999</v>
      </c>
      <c r="C10" s="36">
        <v>3.19</v>
      </c>
      <c r="D10" s="36">
        <v>3.99</v>
      </c>
      <c r="E10" s="36">
        <v>2.38</v>
      </c>
      <c r="F10" s="36">
        <v>0.83</v>
      </c>
      <c r="G10" s="36">
        <v>2.5099999999999998</v>
      </c>
      <c r="H10" s="36">
        <v>1.52</v>
      </c>
      <c r="I10" s="36">
        <v>5.03</v>
      </c>
      <c r="J10" s="36">
        <v>2.6</v>
      </c>
      <c r="K10" s="39"/>
    </row>
    <row r="11" spans="1:11" ht="16.5" thickBot="1" x14ac:dyDescent="0.3">
      <c r="A11" s="80"/>
      <c r="B11" s="62">
        <v>1.8</v>
      </c>
      <c r="C11" s="60">
        <v>3.17</v>
      </c>
      <c r="D11" s="60">
        <v>4.7050000000000001</v>
      </c>
      <c r="E11" s="60">
        <v>2.78</v>
      </c>
      <c r="F11" s="60">
        <v>0.85</v>
      </c>
      <c r="G11" s="60">
        <v>4.79</v>
      </c>
      <c r="H11" s="60">
        <v>1.34</v>
      </c>
      <c r="I11" s="60">
        <v>2.98</v>
      </c>
      <c r="J11" s="60">
        <v>6.02</v>
      </c>
      <c r="K11" s="63"/>
    </row>
    <row r="12" spans="1:11" ht="16.5" thickBot="1" x14ac:dyDescent="0.3">
      <c r="A12" s="78"/>
      <c r="B12" s="38">
        <v>1.3049999999999999</v>
      </c>
      <c r="C12" s="36">
        <v>3.12</v>
      </c>
      <c r="D12" s="36">
        <v>4.0199999999999996</v>
      </c>
      <c r="E12" s="36">
        <v>2.41</v>
      </c>
      <c r="F12" s="36">
        <v>2.5099999999999998</v>
      </c>
      <c r="G12" s="36">
        <v>2.52</v>
      </c>
      <c r="H12" s="36">
        <v>1.5049999999999999</v>
      </c>
      <c r="I12" s="36">
        <v>5.01</v>
      </c>
      <c r="J12" s="36">
        <v>6.01</v>
      </c>
      <c r="K12" s="39"/>
    </row>
    <row r="13" spans="1:11" ht="16.5" thickBot="1" x14ac:dyDescent="0.3">
      <c r="A13" s="80"/>
      <c r="B13" s="62">
        <v>1.29</v>
      </c>
      <c r="C13" s="60">
        <v>3.19</v>
      </c>
      <c r="D13" s="60">
        <v>4.0049999999999999</v>
      </c>
      <c r="E13" s="60">
        <v>2.39</v>
      </c>
      <c r="F13" s="60">
        <v>2.52</v>
      </c>
      <c r="G13" s="60">
        <v>2.5299999999999998</v>
      </c>
      <c r="H13" s="60">
        <v>1.5149999999999999</v>
      </c>
      <c r="I13" s="60">
        <v>5.03</v>
      </c>
      <c r="J13" s="60">
        <v>5.42</v>
      </c>
      <c r="K13" s="63"/>
    </row>
    <row r="14" spans="1:11" ht="16.5" thickBot="1" x14ac:dyDescent="0.3">
      <c r="A14" s="78"/>
      <c r="B14" s="38">
        <v>0.64</v>
      </c>
      <c r="C14" s="36">
        <v>1.2050000000000001</v>
      </c>
      <c r="D14" s="36">
        <v>1.74</v>
      </c>
      <c r="E14" s="36">
        <v>1.72</v>
      </c>
      <c r="F14" s="36">
        <v>4.92</v>
      </c>
      <c r="G14" s="36">
        <v>2.5099999999999998</v>
      </c>
      <c r="H14" s="36">
        <v>1.52</v>
      </c>
      <c r="I14" s="36">
        <v>5.0199999999999996</v>
      </c>
      <c r="J14" s="36">
        <v>6.02</v>
      </c>
      <c r="K14" s="39"/>
    </row>
    <row r="15" spans="1:11" ht="16.5" thickBot="1" x14ac:dyDescent="0.3">
      <c r="A15" s="80"/>
      <c r="B15" s="62">
        <v>1.3049999999999999</v>
      </c>
      <c r="C15" s="60">
        <v>2.41</v>
      </c>
      <c r="D15" s="60">
        <v>4.07</v>
      </c>
      <c r="E15" s="60">
        <v>2.4049999999999998</v>
      </c>
      <c r="F15" s="60">
        <v>2.5099999999999998</v>
      </c>
      <c r="G15" s="60">
        <v>0.84499999999999997</v>
      </c>
      <c r="H15" s="60">
        <v>0.63</v>
      </c>
      <c r="I15" s="60">
        <v>1.38</v>
      </c>
      <c r="J15" s="60">
        <v>6.03</v>
      </c>
      <c r="K15" s="63"/>
    </row>
    <row r="16" spans="1:11" ht="16.5" thickBot="1" x14ac:dyDescent="0.3">
      <c r="A16" s="78"/>
      <c r="B16" s="55">
        <v>1.29</v>
      </c>
      <c r="C16" s="56">
        <v>2.63</v>
      </c>
      <c r="D16" s="56">
        <v>4.08</v>
      </c>
      <c r="E16" s="56">
        <v>2.4500000000000002</v>
      </c>
      <c r="F16" s="56">
        <v>2.5150000000000001</v>
      </c>
      <c r="G16" s="56">
        <v>0.83</v>
      </c>
      <c r="H16" s="56">
        <v>0.61</v>
      </c>
      <c r="I16" s="56">
        <v>1.35</v>
      </c>
      <c r="J16" s="56">
        <v>6.04</v>
      </c>
      <c r="K16" s="57"/>
    </row>
    <row r="17" spans="1:13" ht="15.75" x14ac:dyDescent="0.25">
      <c r="A17" s="80"/>
      <c r="B17" s="66">
        <v>1.3049999999999999</v>
      </c>
      <c r="C17" s="67">
        <v>2.605</v>
      </c>
      <c r="D17" s="67">
        <v>4.0199999999999996</v>
      </c>
      <c r="E17" s="67">
        <v>2.42</v>
      </c>
      <c r="F17" s="67">
        <v>2.5299999999999998</v>
      </c>
      <c r="G17" s="67">
        <v>0.85</v>
      </c>
      <c r="H17" s="67">
        <v>0.57999999999999996</v>
      </c>
      <c r="I17" s="67">
        <v>1.3049999999999999</v>
      </c>
      <c r="J17" s="67">
        <v>1.63</v>
      </c>
      <c r="K17" s="68"/>
    </row>
    <row r="18" spans="1:13" ht="15.75" x14ac:dyDescent="0.25">
      <c r="A18" s="30"/>
      <c r="B18" s="55">
        <v>1.29</v>
      </c>
      <c r="C18" s="56">
        <v>2.58</v>
      </c>
      <c r="D18" s="56">
        <v>4.0049999999999999</v>
      </c>
      <c r="E18" s="56">
        <v>2.39</v>
      </c>
      <c r="F18" s="56">
        <v>0.84</v>
      </c>
      <c r="G18" s="56">
        <v>0.83</v>
      </c>
      <c r="H18" s="56">
        <v>0.59</v>
      </c>
      <c r="I18" s="56">
        <v>1.34</v>
      </c>
      <c r="J18" s="56">
        <v>1.62</v>
      </c>
      <c r="K18" s="57"/>
    </row>
    <row r="19" spans="1:13" ht="15.75" x14ac:dyDescent="0.25">
      <c r="A19" s="29"/>
      <c r="B19" s="66">
        <v>0.62</v>
      </c>
      <c r="C19" s="67">
        <v>0.83</v>
      </c>
      <c r="D19" s="67">
        <v>3.45</v>
      </c>
      <c r="E19" s="67">
        <v>0.94</v>
      </c>
      <c r="F19" s="67">
        <v>0.82</v>
      </c>
      <c r="G19" s="67"/>
      <c r="H19" s="67"/>
      <c r="I19" s="67"/>
      <c r="J19" s="67">
        <v>1.61</v>
      </c>
      <c r="K19" s="68"/>
    </row>
    <row r="20" spans="1:13" ht="15.75" x14ac:dyDescent="0.25">
      <c r="A20" s="30"/>
      <c r="B20" s="55">
        <v>0.59</v>
      </c>
      <c r="C20" s="56">
        <v>0.86</v>
      </c>
      <c r="D20" s="56">
        <v>3.46</v>
      </c>
      <c r="E20" s="56">
        <v>0.92</v>
      </c>
      <c r="F20" s="56">
        <v>0.84499999999999997</v>
      </c>
      <c r="G20" s="56"/>
      <c r="H20" s="56"/>
      <c r="I20" s="56"/>
      <c r="J20" s="56">
        <v>1.635</v>
      </c>
      <c r="K20" s="57"/>
    </row>
    <row r="21" spans="1:13" ht="15.75" x14ac:dyDescent="0.25">
      <c r="A21" s="29"/>
      <c r="B21" s="66">
        <v>0.56000000000000005</v>
      </c>
      <c r="C21" s="67">
        <v>0.91</v>
      </c>
      <c r="D21" s="67">
        <v>3.48</v>
      </c>
      <c r="E21" s="67">
        <v>0.9</v>
      </c>
      <c r="F21" s="67">
        <v>0.86</v>
      </c>
      <c r="G21" s="67"/>
      <c r="H21" s="67"/>
      <c r="I21" s="67"/>
      <c r="J21" s="67"/>
      <c r="K21" s="68"/>
    </row>
    <row r="22" spans="1:13" ht="15.75" x14ac:dyDescent="0.25">
      <c r="A22" s="30"/>
      <c r="B22" s="55">
        <v>0.57499999999999996</v>
      </c>
      <c r="C22" s="56">
        <v>0.89</v>
      </c>
      <c r="D22" s="56">
        <v>3.43</v>
      </c>
      <c r="E22" s="56">
        <v>0.92</v>
      </c>
      <c r="F22" s="56"/>
      <c r="G22" s="56"/>
      <c r="H22" s="56"/>
      <c r="I22" s="56"/>
      <c r="J22" s="56"/>
      <c r="K22" s="57"/>
    </row>
    <row r="23" spans="1:13" ht="15.75" x14ac:dyDescent="0.25">
      <c r="A23" s="29"/>
      <c r="B23" s="66"/>
      <c r="C23" s="67"/>
      <c r="D23" s="67">
        <v>3.45</v>
      </c>
      <c r="E23" s="67"/>
      <c r="F23" s="67"/>
      <c r="G23" s="67"/>
      <c r="H23" s="67"/>
      <c r="I23" s="67"/>
      <c r="J23" s="67"/>
      <c r="K23" s="68"/>
    </row>
    <row r="24" spans="1:13" ht="15.75" x14ac:dyDescent="0.25">
      <c r="A24" s="30"/>
      <c r="B24" s="55"/>
      <c r="C24" s="56"/>
      <c r="D24" s="56">
        <v>3.4350000000000001</v>
      </c>
      <c r="E24" s="56"/>
      <c r="F24" s="56"/>
      <c r="G24" s="56"/>
      <c r="H24" s="56"/>
      <c r="I24" s="56"/>
      <c r="J24" s="56"/>
      <c r="K24" s="57"/>
    </row>
    <row r="25" spans="1:13" ht="15.75" x14ac:dyDescent="0.25">
      <c r="A25" s="29"/>
      <c r="B25" s="66"/>
      <c r="C25" s="67"/>
      <c r="D25" s="67">
        <v>3.46</v>
      </c>
      <c r="E25" s="67"/>
      <c r="F25" s="67"/>
      <c r="G25" s="67"/>
      <c r="H25" s="67"/>
      <c r="I25" s="67"/>
      <c r="J25" s="67"/>
      <c r="K25" s="68"/>
    </row>
    <row r="26" spans="1:13" ht="15.75" x14ac:dyDescent="0.25">
      <c r="A26" s="30"/>
      <c r="B26" s="55"/>
      <c r="C26" s="56"/>
      <c r="D26" s="56">
        <v>3.4550000000000001</v>
      </c>
      <c r="E26" s="56"/>
      <c r="F26" s="56"/>
      <c r="G26" s="56"/>
      <c r="H26" s="56"/>
      <c r="I26" s="56"/>
      <c r="J26" s="56"/>
      <c r="K26" s="57"/>
    </row>
    <row r="27" spans="1:13" ht="15.75" x14ac:dyDescent="0.25">
      <c r="A27" s="108"/>
      <c r="B27" s="109"/>
      <c r="C27" s="110"/>
      <c r="D27" s="110">
        <v>3.44</v>
      </c>
      <c r="E27" s="110"/>
      <c r="F27" s="110"/>
      <c r="G27" s="110"/>
      <c r="H27" s="110"/>
      <c r="I27" s="110"/>
      <c r="J27" s="110"/>
      <c r="K27" s="111"/>
    </row>
    <row r="28" spans="1:13" ht="15.75" x14ac:dyDescent="0.25">
      <c r="A28" s="112"/>
      <c r="B28" s="67"/>
      <c r="C28" s="67"/>
      <c r="D28" s="67">
        <v>1.1299999999999999</v>
      </c>
      <c r="E28" s="67"/>
      <c r="F28" s="67"/>
      <c r="G28" s="67"/>
      <c r="H28" s="67"/>
      <c r="I28" s="67"/>
      <c r="J28" s="67"/>
      <c r="K28" s="67"/>
    </row>
    <row r="29" spans="1:13" ht="15.75" x14ac:dyDescent="0.25">
      <c r="A29" s="112"/>
      <c r="B29" s="67"/>
      <c r="C29" s="67"/>
      <c r="D29" s="67">
        <v>1.0900000000000001</v>
      </c>
      <c r="E29" s="67"/>
      <c r="F29" s="67"/>
      <c r="G29" s="67"/>
      <c r="H29" s="67"/>
      <c r="I29" s="67"/>
      <c r="J29" s="67"/>
      <c r="K29" s="67"/>
    </row>
    <row r="30" spans="1:13" ht="15.75" x14ac:dyDescent="0.25">
      <c r="A30" s="112"/>
      <c r="B30" s="67"/>
      <c r="C30" s="67"/>
      <c r="D30" s="67">
        <v>1.08</v>
      </c>
      <c r="E30" s="67"/>
      <c r="F30" s="67"/>
      <c r="G30" s="67"/>
      <c r="H30" s="67"/>
      <c r="I30" s="67"/>
      <c r="J30" s="67"/>
      <c r="K30" s="67"/>
    </row>
    <row r="31" spans="1:13" ht="15.75" x14ac:dyDescent="0.25">
      <c r="A31" s="112"/>
      <c r="B31" s="67"/>
      <c r="C31" s="67"/>
      <c r="D31" s="67">
        <v>1.06</v>
      </c>
      <c r="E31" s="67"/>
      <c r="F31" s="67"/>
      <c r="G31" s="67"/>
      <c r="H31" s="67"/>
      <c r="I31" s="67"/>
      <c r="J31" s="67"/>
      <c r="K31" s="67"/>
    </row>
    <row r="32" spans="1:13" ht="19.5" thickBot="1" x14ac:dyDescent="0.3">
      <c r="B32" s="5">
        <f>SUM(B2:B27)</f>
        <v>24.334999999999997</v>
      </c>
      <c r="C32" s="5">
        <f>SUM(C2:C27)</f>
        <v>53.364999999999981</v>
      </c>
      <c r="D32" s="5">
        <f>SUM(D2:D31)</f>
        <v>102.345</v>
      </c>
      <c r="E32" s="5">
        <f>SUM(E2:E27)</f>
        <v>43.910000000000004</v>
      </c>
      <c r="F32" s="5">
        <f>SUM(F2:F27)</f>
        <v>41.125</v>
      </c>
      <c r="G32" s="5">
        <f>SUM(G2:G27)</f>
        <v>38.394999999999996</v>
      </c>
      <c r="H32" s="5">
        <f>SUM(H2:H27)</f>
        <v>21.949999999999996</v>
      </c>
      <c r="I32" s="5">
        <f>SUM(I2:I27)</f>
        <v>68.824999999999989</v>
      </c>
      <c r="J32" s="5">
        <f>SUM(J2:J27)</f>
        <v>98.195000000000022</v>
      </c>
      <c r="K32" s="5">
        <f>SUM(K4:K27)</f>
        <v>35.26</v>
      </c>
      <c r="M32">
        <f>527.705-633.865</f>
        <v>-106.15999999999997</v>
      </c>
    </row>
    <row r="33" spans="2:11" ht="15.75" thickBot="1" x14ac:dyDescent="0.3">
      <c r="B33" s="2" t="s">
        <v>0</v>
      </c>
      <c r="C33" s="3" t="s">
        <v>1</v>
      </c>
      <c r="D33" s="2" t="s">
        <v>2</v>
      </c>
      <c r="E33" s="2" t="s">
        <v>25</v>
      </c>
      <c r="F33" s="4" t="s">
        <v>3</v>
      </c>
      <c r="G33" s="2" t="s">
        <v>4</v>
      </c>
      <c r="H33" s="4" t="s">
        <v>5</v>
      </c>
      <c r="I33" s="2" t="s">
        <v>6</v>
      </c>
      <c r="J33" s="4" t="s">
        <v>7</v>
      </c>
      <c r="K33" s="2" t="s">
        <v>41</v>
      </c>
    </row>
    <row r="34" spans="2:11" ht="15.75" thickBot="1" x14ac:dyDescent="0.3"/>
    <row r="35" spans="2:11" ht="18.75" x14ac:dyDescent="0.3">
      <c r="B35" s="87" t="s">
        <v>8</v>
      </c>
      <c r="C35" s="88"/>
      <c r="D35" s="88"/>
      <c r="E35" s="88"/>
      <c r="F35" s="87" t="s">
        <v>9</v>
      </c>
      <c r="G35" s="89"/>
      <c r="H35" s="88" t="s">
        <v>10</v>
      </c>
      <c r="I35" s="88"/>
      <c r="J35" s="89"/>
      <c r="K35" s="16"/>
    </row>
    <row r="36" spans="2:11" x14ac:dyDescent="0.25">
      <c r="B36" s="90">
        <f>B32+C32+D32+E32</f>
        <v>223.95499999999996</v>
      </c>
      <c r="C36" s="91"/>
      <c r="D36" s="91"/>
      <c r="E36" s="91"/>
      <c r="F36" s="90">
        <f>F32+G32</f>
        <v>79.52</v>
      </c>
      <c r="G36" s="94"/>
      <c r="H36" s="96">
        <f>H32+I32+J32+K32</f>
        <v>224.23</v>
      </c>
      <c r="I36" s="91"/>
      <c r="J36" s="94"/>
      <c r="K36" s="97">
        <f>B36+F36+H36</f>
        <v>527.70499999999993</v>
      </c>
    </row>
    <row r="37" spans="2:11" ht="15.75" thickBot="1" x14ac:dyDescent="0.3">
      <c r="B37" s="92"/>
      <c r="C37" s="93"/>
      <c r="D37" s="93"/>
      <c r="E37" s="93"/>
      <c r="F37" s="92"/>
      <c r="G37" s="95"/>
      <c r="H37" s="93"/>
      <c r="I37" s="93"/>
      <c r="J37" s="95"/>
      <c r="K37" s="98"/>
    </row>
  </sheetData>
  <mergeCells count="8">
    <mergeCell ref="B1:K1"/>
    <mergeCell ref="B35:E35"/>
    <mergeCell ref="F35:G35"/>
    <mergeCell ref="H35:J35"/>
    <mergeCell ref="B36:E37"/>
    <mergeCell ref="F36:G37"/>
    <mergeCell ref="H36:J37"/>
    <mergeCell ref="K36:K37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9B75-A3C0-49F0-BEFA-DDAEA30BA28B}">
  <dimension ref="A1:K33"/>
  <sheetViews>
    <sheetView workbookViewId="0">
      <selection activeCell="H7" sqref="H7"/>
    </sheetView>
  </sheetViews>
  <sheetFormatPr defaultRowHeight="15" x14ac:dyDescent="0.25"/>
  <cols>
    <col min="1" max="1" width="18.28515625" customWidth="1"/>
    <col min="2" max="2" width="11.42578125" customWidth="1"/>
    <col min="3" max="3" width="11.85546875" customWidth="1"/>
    <col min="4" max="4" width="13.140625" customWidth="1"/>
    <col min="5" max="5" width="12.7109375" customWidth="1"/>
    <col min="6" max="6" width="12.42578125" customWidth="1"/>
    <col min="7" max="7" width="12.140625" customWidth="1"/>
    <col min="8" max="8" width="13.140625" customWidth="1"/>
    <col min="9" max="9" width="11.28515625" customWidth="1"/>
    <col min="10" max="10" width="12.42578125" customWidth="1"/>
    <col min="11" max="11" width="13" customWidth="1"/>
  </cols>
  <sheetData>
    <row r="1" spans="1:11" ht="23.25" thickBot="1" x14ac:dyDescent="0.3">
      <c r="A1" s="44" t="s">
        <v>14</v>
      </c>
      <c r="B1" s="84" t="s">
        <v>37</v>
      </c>
      <c r="C1" s="85"/>
      <c r="D1" s="85"/>
      <c r="E1" s="85"/>
      <c r="F1" s="85"/>
      <c r="G1" s="85"/>
      <c r="H1" s="85"/>
      <c r="I1" s="85"/>
      <c r="J1" s="85"/>
      <c r="K1" s="86"/>
    </row>
    <row r="2" spans="1:11" ht="16.5" thickBot="1" x14ac:dyDescent="0.3">
      <c r="A2" s="78"/>
      <c r="B2" s="31"/>
      <c r="C2" s="32"/>
      <c r="D2" s="32"/>
      <c r="E2" s="32"/>
      <c r="F2" s="32"/>
      <c r="G2" s="32"/>
      <c r="H2" s="32"/>
      <c r="I2" s="32"/>
      <c r="J2" s="32"/>
      <c r="K2" s="33"/>
    </row>
    <row r="3" spans="1:11" ht="16.5" thickBot="1" x14ac:dyDescent="0.3">
      <c r="A3" s="80"/>
      <c r="B3" s="76"/>
      <c r="C3" s="25"/>
      <c r="D3" s="25"/>
      <c r="E3" s="25"/>
      <c r="F3" s="25"/>
      <c r="G3" s="25"/>
      <c r="H3" s="25"/>
      <c r="I3" s="25"/>
      <c r="J3" s="25"/>
      <c r="K3" s="26"/>
    </row>
    <row r="4" spans="1:11" ht="16.5" thickBot="1" x14ac:dyDescent="0.3">
      <c r="A4" s="78"/>
      <c r="B4" s="77"/>
      <c r="C4" s="36"/>
      <c r="D4" s="36"/>
      <c r="E4" s="36"/>
      <c r="F4" s="36"/>
      <c r="G4" s="36"/>
      <c r="H4" s="36"/>
      <c r="I4" s="36"/>
      <c r="J4" s="36"/>
      <c r="K4" s="37"/>
    </row>
    <row r="5" spans="1:11" ht="16.5" thickBot="1" x14ac:dyDescent="0.3">
      <c r="A5" s="80"/>
      <c r="B5" s="76"/>
      <c r="C5" s="25"/>
      <c r="D5" s="25"/>
      <c r="E5" s="25"/>
      <c r="F5" s="25"/>
      <c r="G5" s="25"/>
      <c r="H5" s="25"/>
      <c r="I5" s="25"/>
      <c r="J5" s="25"/>
      <c r="K5" s="26"/>
    </row>
    <row r="6" spans="1:11" ht="16.5" thickBot="1" x14ac:dyDescent="0.3">
      <c r="A6" s="78"/>
      <c r="B6" s="35"/>
      <c r="C6" s="36"/>
      <c r="D6" s="36"/>
      <c r="E6" s="36"/>
      <c r="F6" s="36"/>
      <c r="G6" s="36"/>
      <c r="H6" s="36"/>
      <c r="I6" s="36"/>
      <c r="J6" s="36"/>
      <c r="K6" s="37"/>
    </row>
    <row r="7" spans="1:11" ht="16.5" thickBot="1" x14ac:dyDescent="0.3">
      <c r="A7" s="80"/>
      <c r="B7" s="59"/>
      <c r="C7" s="60"/>
      <c r="D7" s="60"/>
      <c r="E7" s="60"/>
      <c r="F7" s="60"/>
      <c r="G7" s="60"/>
      <c r="H7" s="60"/>
      <c r="I7" s="60"/>
      <c r="J7" s="60"/>
      <c r="K7" s="61"/>
    </row>
    <row r="8" spans="1:11" ht="16.5" thickBot="1" x14ac:dyDescent="0.3">
      <c r="A8" s="78"/>
      <c r="B8" s="38"/>
      <c r="C8" s="36"/>
      <c r="D8" s="36"/>
      <c r="E8" s="36"/>
      <c r="F8" s="36"/>
      <c r="G8" s="36"/>
      <c r="H8" s="36"/>
      <c r="I8" s="36"/>
      <c r="J8" s="36"/>
      <c r="K8" s="39"/>
    </row>
    <row r="9" spans="1:11" ht="16.5" thickBot="1" x14ac:dyDescent="0.3">
      <c r="A9" s="80"/>
      <c r="B9" s="62"/>
      <c r="C9" s="60"/>
      <c r="D9" s="60"/>
      <c r="E9" s="60"/>
      <c r="F9" s="60"/>
      <c r="G9" s="60"/>
      <c r="H9" s="60"/>
      <c r="I9" s="60"/>
      <c r="J9" s="60"/>
      <c r="K9" s="63"/>
    </row>
    <row r="10" spans="1:11" ht="16.5" thickBot="1" x14ac:dyDescent="0.3">
      <c r="A10" s="78"/>
      <c r="B10" s="38"/>
      <c r="C10" s="36"/>
      <c r="D10" s="36"/>
      <c r="E10" s="36"/>
      <c r="F10" s="36"/>
      <c r="G10" s="36"/>
      <c r="H10" s="36"/>
      <c r="I10" s="36"/>
      <c r="J10" s="36"/>
      <c r="K10" s="39"/>
    </row>
    <row r="11" spans="1:11" ht="16.5" thickBot="1" x14ac:dyDescent="0.3">
      <c r="A11" s="80"/>
      <c r="B11" s="62"/>
      <c r="C11" s="60"/>
      <c r="D11" s="60"/>
      <c r="E11" s="60"/>
      <c r="F11" s="60"/>
      <c r="G11" s="60"/>
      <c r="H11" s="60"/>
      <c r="I11" s="60"/>
      <c r="J11" s="60"/>
      <c r="K11" s="63"/>
    </row>
    <row r="12" spans="1:11" ht="16.5" thickBot="1" x14ac:dyDescent="0.3">
      <c r="A12" s="78"/>
      <c r="B12" s="38"/>
      <c r="C12" s="36"/>
      <c r="D12" s="36"/>
      <c r="E12" s="36"/>
      <c r="F12" s="36"/>
      <c r="G12" s="36"/>
      <c r="H12" s="36"/>
      <c r="I12" s="36"/>
      <c r="J12" s="36"/>
      <c r="K12" s="39"/>
    </row>
    <row r="13" spans="1:11" ht="16.5" thickBot="1" x14ac:dyDescent="0.3">
      <c r="A13" s="80"/>
      <c r="B13" s="62"/>
      <c r="C13" s="60"/>
      <c r="D13" s="60"/>
      <c r="E13" s="60"/>
      <c r="F13" s="60"/>
      <c r="G13" s="60"/>
      <c r="H13" s="60"/>
      <c r="I13" s="60"/>
      <c r="J13" s="60"/>
      <c r="K13" s="63"/>
    </row>
    <row r="14" spans="1:11" ht="16.5" thickBot="1" x14ac:dyDescent="0.3">
      <c r="A14" s="78"/>
      <c r="B14" s="38"/>
      <c r="C14" s="36"/>
      <c r="D14" s="36"/>
      <c r="E14" s="36"/>
      <c r="F14" s="36"/>
      <c r="G14" s="36"/>
      <c r="H14" s="36"/>
      <c r="I14" s="36"/>
      <c r="J14" s="36"/>
      <c r="K14" s="39"/>
    </row>
    <row r="15" spans="1:11" ht="16.5" thickBot="1" x14ac:dyDescent="0.3">
      <c r="A15" s="80"/>
      <c r="B15" s="62"/>
      <c r="C15" s="60"/>
      <c r="D15" s="60"/>
      <c r="E15" s="60"/>
      <c r="F15" s="60"/>
      <c r="G15" s="60"/>
      <c r="H15" s="60"/>
      <c r="I15" s="60"/>
      <c r="J15" s="60"/>
      <c r="K15" s="63"/>
    </row>
    <row r="16" spans="1:11" ht="16.5" thickBot="1" x14ac:dyDescent="0.3">
      <c r="A16" s="78"/>
      <c r="B16" s="55"/>
      <c r="C16" s="56"/>
      <c r="D16" s="56"/>
      <c r="E16" s="56"/>
      <c r="F16" s="56"/>
      <c r="G16" s="56"/>
      <c r="H16" s="56"/>
      <c r="I16" s="56"/>
      <c r="J16" s="56"/>
      <c r="K16" s="57"/>
    </row>
    <row r="17" spans="1:11" ht="15.75" x14ac:dyDescent="0.25">
      <c r="A17" s="80"/>
      <c r="B17" s="66"/>
      <c r="C17" s="67"/>
      <c r="D17" s="67"/>
      <c r="E17" s="67"/>
      <c r="F17" s="67"/>
      <c r="G17" s="67"/>
      <c r="H17" s="67"/>
      <c r="I17" s="67"/>
      <c r="J17" s="67"/>
      <c r="K17" s="68"/>
    </row>
    <row r="18" spans="1:11" ht="15.75" x14ac:dyDescent="0.25">
      <c r="A18" s="30"/>
      <c r="B18" s="55"/>
      <c r="C18" s="56"/>
      <c r="D18" s="56"/>
      <c r="E18" s="56"/>
      <c r="F18" s="56"/>
      <c r="G18" s="56"/>
      <c r="H18" s="56"/>
      <c r="I18" s="56"/>
      <c r="J18" s="56"/>
      <c r="K18" s="57"/>
    </row>
    <row r="19" spans="1:11" ht="15.75" x14ac:dyDescent="0.25">
      <c r="A19" s="29"/>
      <c r="B19" s="66"/>
      <c r="C19" s="67"/>
      <c r="D19" s="67"/>
      <c r="E19" s="67"/>
      <c r="F19" s="67"/>
      <c r="G19" s="67"/>
      <c r="H19" s="67"/>
      <c r="I19" s="67"/>
      <c r="J19" s="67"/>
      <c r="K19" s="68"/>
    </row>
    <row r="20" spans="1:11" ht="15.75" x14ac:dyDescent="0.25">
      <c r="A20" s="30"/>
      <c r="B20" s="55"/>
      <c r="C20" s="56"/>
      <c r="D20" s="56"/>
      <c r="E20" s="56"/>
      <c r="F20" s="56"/>
      <c r="G20" s="56"/>
      <c r="H20" s="56"/>
      <c r="I20" s="56"/>
      <c r="J20" s="56"/>
      <c r="K20" s="57"/>
    </row>
    <row r="21" spans="1:11" ht="15.75" x14ac:dyDescent="0.25">
      <c r="A21" s="29"/>
      <c r="B21" s="66"/>
      <c r="C21" s="67"/>
      <c r="D21" s="67"/>
      <c r="E21" s="67"/>
      <c r="F21" s="67"/>
      <c r="G21" s="67"/>
      <c r="H21" s="67"/>
      <c r="I21" s="67"/>
      <c r="J21" s="67"/>
      <c r="K21" s="68"/>
    </row>
    <row r="22" spans="1:11" ht="15.75" x14ac:dyDescent="0.25">
      <c r="A22" s="30"/>
      <c r="B22" s="55"/>
      <c r="C22" s="56"/>
      <c r="D22" s="56"/>
      <c r="E22" s="56"/>
      <c r="F22" s="56"/>
      <c r="G22" s="56"/>
      <c r="H22" s="56"/>
      <c r="I22" s="56"/>
      <c r="J22" s="56"/>
      <c r="K22" s="57"/>
    </row>
    <row r="23" spans="1:11" ht="15.75" x14ac:dyDescent="0.25">
      <c r="A23" s="29"/>
      <c r="B23" s="66"/>
      <c r="C23" s="67"/>
      <c r="D23" s="67"/>
      <c r="E23" s="67"/>
      <c r="F23" s="67"/>
      <c r="G23" s="67"/>
      <c r="H23" s="67"/>
      <c r="I23" s="67"/>
      <c r="J23" s="67"/>
      <c r="K23" s="68"/>
    </row>
    <row r="24" spans="1:11" ht="15.75" x14ac:dyDescent="0.25">
      <c r="A24" s="30"/>
      <c r="B24" s="55"/>
      <c r="C24" s="56"/>
      <c r="D24" s="56"/>
      <c r="E24" s="56"/>
      <c r="F24" s="56"/>
      <c r="G24" s="56"/>
      <c r="H24" s="56"/>
      <c r="I24" s="56"/>
      <c r="J24" s="56"/>
      <c r="K24" s="57"/>
    </row>
    <row r="25" spans="1:11" ht="15.75" x14ac:dyDescent="0.25">
      <c r="A25" s="29"/>
      <c r="B25" s="66"/>
      <c r="C25" s="67"/>
      <c r="D25" s="67"/>
      <c r="E25" s="67"/>
      <c r="F25" s="67"/>
      <c r="G25" s="67"/>
      <c r="H25" s="67"/>
      <c r="I25" s="67"/>
      <c r="J25" s="67"/>
      <c r="K25" s="68"/>
    </row>
    <row r="26" spans="1:11" ht="15.75" x14ac:dyDescent="0.25">
      <c r="A26" s="30"/>
      <c r="B26" s="55"/>
      <c r="C26" s="56"/>
      <c r="D26" s="56"/>
      <c r="E26" s="56"/>
      <c r="F26" s="56"/>
      <c r="G26" s="56"/>
      <c r="H26" s="56"/>
      <c r="I26" s="56"/>
      <c r="J26" s="56"/>
      <c r="K26" s="57"/>
    </row>
    <row r="27" spans="1:11" ht="16.5" thickBot="1" x14ac:dyDescent="0.3">
      <c r="A27" s="79"/>
      <c r="B27" s="69"/>
      <c r="C27" s="70"/>
      <c r="D27" s="70"/>
      <c r="E27" s="70"/>
      <c r="F27" s="70"/>
      <c r="G27" s="70"/>
      <c r="H27" s="70"/>
      <c r="I27" s="70"/>
      <c r="J27" s="70"/>
      <c r="K27" s="71"/>
    </row>
    <row r="28" spans="1:11" ht="19.5" thickBot="1" x14ac:dyDescent="0.3">
      <c r="B28" s="5">
        <f t="shared" ref="B28:J28" si="0">SUM(B2:B27)</f>
        <v>0</v>
      </c>
      <c r="C28" s="5">
        <f t="shared" si="0"/>
        <v>0</v>
      </c>
      <c r="D28" s="5">
        <f t="shared" si="0"/>
        <v>0</v>
      </c>
      <c r="E28" s="5">
        <f t="shared" si="0"/>
        <v>0</v>
      </c>
      <c r="F28" s="5">
        <f>SUM(F2:F27)</f>
        <v>0</v>
      </c>
      <c r="G28" s="5">
        <f>SUM(G2:G27)</f>
        <v>0</v>
      </c>
      <c r="H28" s="5">
        <f t="shared" si="0"/>
        <v>0</v>
      </c>
      <c r="I28" s="5">
        <f t="shared" si="0"/>
        <v>0</v>
      </c>
      <c r="J28" s="5">
        <f t="shared" si="0"/>
        <v>0</v>
      </c>
      <c r="K28" s="5">
        <f t="shared" ref="K28" si="1">SUM(K4:K27)</f>
        <v>0</v>
      </c>
    </row>
    <row r="29" spans="1:11" ht="15.75" thickBot="1" x14ac:dyDescent="0.3">
      <c r="B29" s="2" t="s">
        <v>0</v>
      </c>
      <c r="C29" s="3" t="s">
        <v>1</v>
      </c>
      <c r="D29" s="2" t="s">
        <v>2</v>
      </c>
      <c r="E29" s="2" t="s">
        <v>25</v>
      </c>
      <c r="F29" s="4" t="s">
        <v>3</v>
      </c>
      <c r="G29" s="2" t="s">
        <v>4</v>
      </c>
      <c r="H29" s="4" t="s">
        <v>5</v>
      </c>
      <c r="I29" s="2" t="s">
        <v>6</v>
      </c>
      <c r="J29" s="4" t="s">
        <v>7</v>
      </c>
      <c r="K29" s="2"/>
    </row>
    <row r="30" spans="1:11" ht="15.75" thickBot="1" x14ac:dyDescent="0.3"/>
    <row r="31" spans="1:11" ht="18.75" x14ac:dyDescent="0.3">
      <c r="B31" s="87" t="s">
        <v>8</v>
      </c>
      <c r="C31" s="88"/>
      <c r="D31" s="88"/>
      <c r="E31" s="88"/>
      <c r="F31" s="87" t="s">
        <v>9</v>
      </c>
      <c r="G31" s="89"/>
      <c r="H31" s="88" t="s">
        <v>10</v>
      </c>
      <c r="I31" s="88"/>
      <c r="J31" s="89"/>
      <c r="K31" s="16"/>
    </row>
    <row r="32" spans="1:11" x14ac:dyDescent="0.25">
      <c r="B32" s="90">
        <f>B28+C28+D28+E28</f>
        <v>0</v>
      </c>
      <c r="C32" s="91"/>
      <c r="D32" s="91"/>
      <c r="E32" s="91"/>
      <c r="F32" s="90">
        <f>F28+G28</f>
        <v>0</v>
      </c>
      <c r="G32" s="94"/>
      <c r="H32" s="96">
        <f>H28+I28+J28</f>
        <v>0</v>
      </c>
      <c r="I32" s="91"/>
      <c r="J32" s="94"/>
      <c r="K32" s="97">
        <f>B32+F32+H32</f>
        <v>0</v>
      </c>
    </row>
    <row r="33" spans="2:11" ht="15.75" thickBot="1" x14ac:dyDescent="0.3">
      <c r="B33" s="92"/>
      <c r="C33" s="93"/>
      <c r="D33" s="93"/>
      <c r="E33" s="93"/>
      <c r="F33" s="92"/>
      <c r="G33" s="95"/>
      <c r="H33" s="93"/>
      <c r="I33" s="93"/>
      <c r="J33" s="95"/>
      <c r="K33" s="98"/>
    </row>
  </sheetData>
  <mergeCells count="8">
    <mergeCell ref="B1:K1"/>
    <mergeCell ref="B31:E31"/>
    <mergeCell ref="F31:G31"/>
    <mergeCell ref="H31:J31"/>
    <mergeCell ref="B32:E33"/>
    <mergeCell ref="F32:G33"/>
    <mergeCell ref="H32:J33"/>
    <mergeCell ref="K32:K33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4C25-B6F7-444C-8643-FB3C2642B2EB}">
  <dimension ref="A1:K33"/>
  <sheetViews>
    <sheetView workbookViewId="0">
      <selection activeCell="H6" sqref="H6"/>
    </sheetView>
  </sheetViews>
  <sheetFormatPr defaultRowHeight="15" x14ac:dyDescent="0.25"/>
  <cols>
    <col min="1" max="1" width="18.28515625" customWidth="1"/>
    <col min="2" max="2" width="11.42578125" customWidth="1"/>
    <col min="3" max="3" width="11.85546875" customWidth="1"/>
    <col min="4" max="4" width="13.140625" customWidth="1"/>
    <col min="5" max="5" width="12.7109375" customWidth="1"/>
    <col min="6" max="6" width="12.42578125" customWidth="1"/>
    <col min="7" max="7" width="12.140625" customWidth="1"/>
    <col min="8" max="8" width="13.140625" customWidth="1"/>
    <col min="9" max="9" width="11.28515625" customWidth="1"/>
    <col min="10" max="10" width="12.42578125" customWidth="1"/>
    <col min="11" max="11" width="13" customWidth="1"/>
  </cols>
  <sheetData>
    <row r="1" spans="1:11" ht="23.25" thickBot="1" x14ac:dyDescent="0.3">
      <c r="A1" s="44" t="s">
        <v>14</v>
      </c>
      <c r="B1" s="84" t="s">
        <v>38</v>
      </c>
      <c r="C1" s="85"/>
      <c r="D1" s="85"/>
      <c r="E1" s="85"/>
      <c r="F1" s="85"/>
      <c r="G1" s="85"/>
      <c r="H1" s="85"/>
      <c r="I1" s="85"/>
      <c r="J1" s="85"/>
      <c r="K1" s="86"/>
    </row>
    <row r="2" spans="1:11" ht="16.5" thickBot="1" x14ac:dyDescent="0.3">
      <c r="A2" s="78"/>
      <c r="B2" s="31"/>
      <c r="C2" s="32"/>
      <c r="D2" s="32"/>
      <c r="E2" s="32"/>
      <c r="F2" s="32"/>
      <c r="G2" s="32"/>
      <c r="H2" s="32"/>
      <c r="I2" s="32"/>
      <c r="J2" s="32"/>
      <c r="K2" s="33"/>
    </row>
    <row r="3" spans="1:11" ht="16.5" thickBot="1" x14ac:dyDescent="0.3">
      <c r="A3" s="80"/>
      <c r="B3" s="76"/>
      <c r="C3" s="25"/>
      <c r="D3" s="25"/>
      <c r="E3" s="25"/>
      <c r="F3" s="25"/>
      <c r="G3" s="25"/>
      <c r="H3" s="25"/>
      <c r="I3" s="25"/>
      <c r="J3" s="25"/>
      <c r="K3" s="26"/>
    </row>
    <row r="4" spans="1:11" ht="16.5" thickBot="1" x14ac:dyDescent="0.3">
      <c r="A4" s="78"/>
      <c r="B4" s="77"/>
      <c r="C4" s="36"/>
      <c r="D4" s="36"/>
      <c r="E4" s="36"/>
      <c r="F4" s="36"/>
      <c r="G4" s="36"/>
      <c r="H4" s="36"/>
      <c r="I4" s="36"/>
      <c r="J4" s="36"/>
      <c r="K4" s="37"/>
    </row>
    <row r="5" spans="1:11" ht="16.5" thickBot="1" x14ac:dyDescent="0.3">
      <c r="A5" s="80"/>
      <c r="B5" s="76"/>
      <c r="C5" s="25"/>
      <c r="D5" s="25"/>
      <c r="E5" s="25"/>
      <c r="F5" s="25"/>
      <c r="G5" s="25"/>
      <c r="H5" s="25"/>
      <c r="I5" s="25"/>
      <c r="J5" s="25"/>
      <c r="K5" s="26"/>
    </row>
    <row r="6" spans="1:11" ht="16.5" thickBot="1" x14ac:dyDescent="0.3">
      <c r="A6" s="78"/>
      <c r="B6" s="35"/>
      <c r="C6" s="36"/>
      <c r="D6" s="36"/>
      <c r="E6" s="36"/>
      <c r="F6" s="36"/>
      <c r="G6" s="36"/>
      <c r="H6" s="36"/>
      <c r="I6" s="36"/>
      <c r="J6" s="36"/>
      <c r="K6" s="37"/>
    </row>
    <row r="7" spans="1:11" ht="16.5" thickBot="1" x14ac:dyDescent="0.3">
      <c r="A7" s="80"/>
      <c r="B7" s="59"/>
      <c r="C7" s="60"/>
      <c r="D7" s="60"/>
      <c r="E7" s="60"/>
      <c r="F7" s="60"/>
      <c r="G7" s="60"/>
      <c r="H7" s="60"/>
      <c r="I7" s="60"/>
      <c r="J7" s="60"/>
      <c r="K7" s="61"/>
    </row>
    <row r="8" spans="1:11" ht="16.5" thickBot="1" x14ac:dyDescent="0.3">
      <c r="A8" s="78"/>
      <c r="B8" s="38"/>
      <c r="C8" s="36"/>
      <c r="D8" s="36"/>
      <c r="E8" s="36"/>
      <c r="F8" s="36"/>
      <c r="G8" s="36"/>
      <c r="H8" s="36"/>
      <c r="I8" s="36"/>
      <c r="J8" s="36"/>
      <c r="K8" s="39"/>
    </row>
    <row r="9" spans="1:11" ht="16.5" thickBot="1" x14ac:dyDescent="0.3">
      <c r="A9" s="80"/>
      <c r="B9" s="62"/>
      <c r="C9" s="60"/>
      <c r="D9" s="60"/>
      <c r="E9" s="60"/>
      <c r="F9" s="60"/>
      <c r="G9" s="60"/>
      <c r="H9" s="60"/>
      <c r="I9" s="60"/>
      <c r="J9" s="60"/>
      <c r="K9" s="63"/>
    </row>
    <row r="10" spans="1:11" ht="16.5" thickBot="1" x14ac:dyDescent="0.3">
      <c r="A10" s="78"/>
      <c r="B10" s="38"/>
      <c r="C10" s="36"/>
      <c r="D10" s="36"/>
      <c r="E10" s="36"/>
      <c r="F10" s="36"/>
      <c r="G10" s="36"/>
      <c r="H10" s="36"/>
      <c r="I10" s="36"/>
      <c r="J10" s="36"/>
      <c r="K10" s="39"/>
    </row>
    <row r="11" spans="1:11" ht="16.5" thickBot="1" x14ac:dyDescent="0.3">
      <c r="A11" s="80"/>
      <c r="B11" s="62"/>
      <c r="C11" s="60"/>
      <c r="D11" s="60"/>
      <c r="E11" s="60"/>
      <c r="F11" s="60"/>
      <c r="G11" s="60"/>
      <c r="H11" s="60"/>
      <c r="I11" s="60"/>
      <c r="J11" s="60"/>
      <c r="K11" s="63"/>
    </row>
    <row r="12" spans="1:11" ht="16.5" thickBot="1" x14ac:dyDescent="0.3">
      <c r="A12" s="78"/>
      <c r="B12" s="38"/>
      <c r="C12" s="36"/>
      <c r="D12" s="36"/>
      <c r="E12" s="36"/>
      <c r="F12" s="36"/>
      <c r="G12" s="36"/>
      <c r="H12" s="36"/>
      <c r="I12" s="36"/>
      <c r="J12" s="36"/>
      <c r="K12" s="39"/>
    </row>
    <row r="13" spans="1:11" ht="16.5" thickBot="1" x14ac:dyDescent="0.3">
      <c r="A13" s="80"/>
      <c r="B13" s="62"/>
      <c r="C13" s="60"/>
      <c r="D13" s="60"/>
      <c r="E13" s="60"/>
      <c r="F13" s="60"/>
      <c r="G13" s="60"/>
      <c r="H13" s="60"/>
      <c r="I13" s="60"/>
      <c r="J13" s="60"/>
      <c r="K13" s="63"/>
    </row>
    <row r="14" spans="1:11" ht="16.5" thickBot="1" x14ac:dyDescent="0.3">
      <c r="A14" s="78"/>
      <c r="B14" s="38"/>
      <c r="C14" s="36"/>
      <c r="D14" s="36"/>
      <c r="E14" s="36"/>
      <c r="F14" s="36"/>
      <c r="G14" s="36"/>
      <c r="H14" s="36"/>
      <c r="I14" s="36"/>
      <c r="J14" s="36"/>
      <c r="K14" s="39"/>
    </row>
    <row r="15" spans="1:11" ht="16.5" thickBot="1" x14ac:dyDescent="0.3">
      <c r="A15" s="80"/>
      <c r="B15" s="62"/>
      <c r="C15" s="60"/>
      <c r="D15" s="60"/>
      <c r="E15" s="60"/>
      <c r="F15" s="60"/>
      <c r="G15" s="60"/>
      <c r="H15" s="60"/>
      <c r="I15" s="60"/>
      <c r="J15" s="60"/>
      <c r="K15" s="63"/>
    </row>
    <row r="16" spans="1:11" ht="16.5" thickBot="1" x14ac:dyDescent="0.3">
      <c r="A16" s="78"/>
      <c r="B16" s="55"/>
      <c r="C16" s="56"/>
      <c r="D16" s="56"/>
      <c r="E16" s="56"/>
      <c r="F16" s="56"/>
      <c r="G16" s="56"/>
      <c r="H16" s="56"/>
      <c r="I16" s="56"/>
      <c r="J16" s="56"/>
      <c r="K16" s="57"/>
    </row>
    <row r="17" spans="1:11" ht="15.75" x14ac:dyDescent="0.25">
      <c r="A17" s="80"/>
      <c r="B17" s="66"/>
      <c r="C17" s="67"/>
      <c r="D17" s="67"/>
      <c r="E17" s="67"/>
      <c r="F17" s="67"/>
      <c r="G17" s="67"/>
      <c r="H17" s="67"/>
      <c r="I17" s="67"/>
      <c r="J17" s="67"/>
      <c r="K17" s="68"/>
    </row>
    <row r="18" spans="1:11" ht="15.75" x14ac:dyDescent="0.25">
      <c r="A18" s="30"/>
      <c r="B18" s="55"/>
      <c r="C18" s="56"/>
      <c r="D18" s="56"/>
      <c r="E18" s="56"/>
      <c r="F18" s="56"/>
      <c r="G18" s="56"/>
      <c r="H18" s="56"/>
      <c r="I18" s="56"/>
      <c r="J18" s="56"/>
      <c r="K18" s="57"/>
    </row>
    <row r="19" spans="1:11" ht="15.75" x14ac:dyDescent="0.25">
      <c r="A19" s="29"/>
      <c r="B19" s="66"/>
      <c r="C19" s="67"/>
      <c r="D19" s="67"/>
      <c r="E19" s="67"/>
      <c r="F19" s="67"/>
      <c r="G19" s="67"/>
      <c r="H19" s="67"/>
      <c r="I19" s="67"/>
      <c r="J19" s="67"/>
      <c r="K19" s="68"/>
    </row>
    <row r="20" spans="1:11" ht="15.75" x14ac:dyDescent="0.25">
      <c r="A20" s="30"/>
      <c r="B20" s="55"/>
      <c r="C20" s="56"/>
      <c r="D20" s="56"/>
      <c r="E20" s="56"/>
      <c r="F20" s="56"/>
      <c r="G20" s="56"/>
      <c r="H20" s="56"/>
      <c r="I20" s="56"/>
      <c r="J20" s="56"/>
      <c r="K20" s="57"/>
    </row>
    <row r="21" spans="1:11" ht="15.75" x14ac:dyDescent="0.25">
      <c r="A21" s="29"/>
      <c r="B21" s="66"/>
      <c r="C21" s="67"/>
      <c r="D21" s="67"/>
      <c r="E21" s="67"/>
      <c r="F21" s="67"/>
      <c r="G21" s="67"/>
      <c r="H21" s="67"/>
      <c r="I21" s="67"/>
      <c r="J21" s="67"/>
      <c r="K21" s="68"/>
    </row>
    <row r="22" spans="1:11" ht="15.75" x14ac:dyDescent="0.25">
      <c r="A22" s="30"/>
      <c r="B22" s="55"/>
      <c r="C22" s="56"/>
      <c r="D22" s="56"/>
      <c r="E22" s="56"/>
      <c r="F22" s="56"/>
      <c r="G22" s="56"/>
      <c r="H22" s="56"/>
      <c r="I22" s="56"/>
      <c r="J22" s="56"/>
      <c r="K22" s="57"/>
    </row>
    <row r="23" spans="1:11" ht="15.75" x14ac:dyDescent="0.25">
      <c r="A23" s="29"/>
      <c r="B23" s="66"/>
      <c r="C23" s="67"/>
      <c r="D23" s="67"/>
      <c r="E23" s="67"/>
      <c r="F23" s="67"/>
      <c r="G23" s="67"/>
      <c r="H23" s="67"/>
      <c r="I23" s="67"/>
      <c r="J23" s="67"/>
      <c r="K23" s="68"/>
    </row>
    <row r="24" spans="1:11" ht="15.75" x14ac:dyDescent="0.25">
      <c r="A24" s="30"/>
      <c r="B24" s="55"/>
      <c r="C24" s="56"/>
      <c r="D24" s="56"/>
      <c r="E24" s="56"/>
      <c r="F24" s="56"/>
      <c r="G24" s="56"/>
      <c r="H24" s="56"/>
      <c r="I24" s="56"/>
      <c r="J24" s="56"/>
      <c r="K24" s="57"/>
    </row>
    <row r="25" spans="1:11" ht="15.75" x14ac:dyDescent="0.25">
      <c r="A25" s="29"/>
      <c r="B25" s="66"/>
      <c r="C25" s="67"/>
      <c r="D25" s="67"/>
      <c r="E25" s="67"/>
      <c r="F25" s="67"/>
      <c r="G25" s="67"/>
      <c r="H25" s="67"/>
      <c r="I25" s="67"/>
      <c r="J25" s="67"/>
      <c r="K25" s="68"/>
    </row>
    <row r="26" spans="1:11" ht="15.75" x14ac:dyDescent="0.25">
      <c r="A26" s="30"/>
      <c r="B26" s="55"/>
      <c r="C26" s="56"/>
      <c r="D26" s="56"/>
      <c r="E26" s="56"/>
      <c r="F26" s="56"/>
      <c r="G26" s="56"/>
      <c r="H26" s="56"/>
      <c r="I26" s="56"/>
      <c r="J26" s="56"/>
      <c r="K26" s="57"/>
    </row>
    <row r="27" spans="1:11" ht="16.5" thickBot="1" x14ac:dyDescent="0.3">
      <c r="A27" s="79"/>
      <c r="B27" s="69"/>
      <c r="C27" s="70"/>
      <c r="D27" s="70"/>
      <c r="E27" s="70"/>
      <c r="F27" s="70"/>
      <c r="G27" s="70"/>
      <c r="H27" s="70"/>
      <c r="I27" s="70"/>
      <c r="J27" s="70"/>
      <c r="K27" s="71"/>
    </row>
    <row r="28" spans="1:11" ht="19.5" thickBot="1" x14ac:dyDescent="0.3">
      <c r="B28" s="5">
        <f t="shared" ref="B28:J28" si="0">SUM(B2:B27)</f>
        <v>0</v>
      </c>
      <c r="C28" s="5">
        <f t="shared" si="0"/>
        <v>0</v>
      </c>
      <c r="D28" s="5">
        <f t="shared" si="0"/>
        <v>0</v>
      </c>
      <c r="E28" s="5">
        <f t="shared" si="0"/>
        <v>0</v>
      </c>
      <c r="F28" s="5">
        <f>SUM(F2:F27)</f>
        <v>0</v>
      </c>
      <c r="G28" s="5">
        <f>SUM(G2:G27)</f>
        <v>0</v>
      </c>
      <c r="H28" s="5">
        <f t="shared" si="0"/>
        <v>0</v>
      </c>
      <c r="I28" s="5">
        <f t="shared" si="0"/>
        <v>0</v>
      </c>
      <c r="J28" s="5">
        <f t="shared" si="0"/>
        <v>0</v>
      </c>
      <c r="K28" s="5">
        <f t="shared" ref="K28" si="1">SUM(K4:K27)</f>
        <v>0</v>
      </c>
    </row>
    <row r="29" spans="1:11" ht="15.75" thickBot="1" x14ac:dyDescent="0.3">
      <c r="B29" s="2" t="s">
        <v>0</v>
      </c>
      <c r="C29" s="3" t="s">
        <v>1</v>
      </c>
      <c r="D29" s="2" t="s">
        <v>2</v>
      </c>
      <c r="E29" s="2" t="s">
        <v>25</v>
      </c>
      <c r="F29" s="4" t="s">
        <v>3</v>
      </c>
      <c r="G29" s="2" t="s">
        <v>4</v>
      </c>
      <c r="H29" s="4" t="s">
        <v>5</v>
      </c>
      <c r="I29" s="2" t="s">
        <v>6</v>
      </c>
      <c r="J29" s="4" t="s">
        <v>7</v>
      </c>
      <c r="K29" s="2"/>
    </row>
    <row r="30" spans="1:11" ht="15.75" thickBot="1" x14ac:dyDescent="0.3"/>
    <row r="31" spans="1:11" ht="18.75" x14ac:dyDescent="0.3">
      <c r="B31" s="87" t="s">
        <v>8</v>
      </c>
      <c r="C31" s="88"/>
      <c r="D31" s="88"/>
      <c r="E31" s="88"/>
      <c r="F31" s="87" t="s">
        <v>9</v>
      </c>
      <c r="G31" s="89"/>
      <c r="H31" s="88" t="s">
        <v>10</v>
      </c>
      <c r="I31" s="88"/>
      <c r="J31" s="89"/>
      <c r="K31" s="16"/>
    </row>
    <row r="32" spans="1:11" x14ac:dyDescent="0.25">
      <c r="B32" s="90">
        <f>B28+C28+D28+E28</f>
        <v>0</v>
      </c>
      <c r="C32" s="91"/>
      <c r="D32" s="91"/>
      <c r="E32" s="91"/>
      <c r="F32" s="90">
        <f>F28+G28</f>
        <v>0</v>
      </c>
      <c r="G32" s="94"/>
      <c r="H32" s="96">
        <f>H28+I28+J28</f>
        <v>0</v>
      </c>
      <c r="I32" s="91"/>
      <c r="J32" s="94"/>
      <c r="K32" s="97">
        <f>B32+F32+H32</f>
        <v>0</v>
      </c>
    </row>
    <row r="33" spans="2:11" ht="15.75" thickBot="1" x14ac:dyDescent="0.3">
      <c r="B33" s="92"/>
      <c r="C33" s="93"/>
      <c r="D33" s="93"/>
      <c r="E33" s="93"/>
      <c r="F33" s="92"/>
      <c r="G33" s="95"/>
      <c r="H33" s="93"/>
      <c r="I33" s="93"/>
      <c r="J33" s="95"/>
      <c r="K33" s="98"/>
    </row>
  </sheetData>
  <mergeCells count="8">
    <mergeCell ref="B1:K1"/>
    <mergeCell ref="B31:E31"/>
    <mergeCell ref="F31:G31"/>
    <mergeCell ref="H31:J31"/>
    <mergeCell ref="B32:E33"/>
    <mergeCell ref="F32:G33"/>
    <mergeCell ref="H32:J33"/>
    <mergeCell ref="K32:K33"/>
  </mergeCells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BEF64-A7D0-4A92-8809-D406F69D71EF}">
  <dimension ref="A1:K33"/>
  <sheetViews>
    <sheetView workbookViewId="0">
      <selection activeCell="I6" sqref="I6"/>
    </sheetView>
  </sheetViews>
  <sheetFormatPr defaultRowHeight="15" x14ac:dyDescent="0.25"/>
  <cols>
    <col min="1" max="1" width="18.28515625" customWidth="1"/>
    <col min="2" max="2" width="11.42578125" customWidth="1"/>
    <col min="3" max="3" width="11.85546875" customWidth="1"/>
    <col min="4" max="4" width="13.140625" customWidth="1"/>
    <col min="5" max="5" width="12.7109375" customWidth="1"/>
    <col min="6" max="6" width="12.42578125" customWidth="1"/>
    <col min="7" max="7" width="12.140625" customWidth="1"/>
    <col min="8" max="8" width="13.140625" customWidth="1"/>
    <col min="9" max="9" width="11.28515625" customWidth="1"/>
    <col min="10" max="10" width="12.42578125" customWidth="1"/>
    <col min="11" max="11" width="13" customWidth="1"/>
  </cols>
  <sheetData>
    <row r="1" spans="1:11" ht="23.25" thickBot="1" x14ac:dyDescent="0.3">
      <c r="A1" s="44" t="s">
        <v>14</v>
      </c>
      <c r="B1" s="84" t="s">
        <v>39</v>
      </c>
      <c r="C1" s="85"/>
      <c r="D1" s="85"/>
      <c r="E1" s="85"/>
      <c r="F1" s="85"/>
      <c r="G1" s="85"/>
      <c r="H1" s="85"/>
      <c r="I1" s="85"/>
      <c r="J1" s="85"/>
      <c r="K1" s="86"/>
    </row>
    <row r="2" spans="1:11" ht="16.5" thickBot="1" x14ac:dyDescent="0.3">
      <c r="A2" s="78"/>
      <c r="B2" s="31"/>
      <c r="C2" s="32"/>
      <c r="D2" s="32"/>
      <c r="E2" s="32"/>
      <c r="F2" s="32"/>
      <c r="G2" s="32"/>
      <c r="H2" s="32"/>
      <c r="I2" s="32"/>
      <c r="J2" s="32"/>
      <c r="K2" s="33"/>
    </row>
    <row r="3" spans="1:11" ht="16.5" thickBot="1" x14ac:dyDescent="0.3">
      <c r="A3" s="80"/>
      <c r="B3" s="76"/>
      <c r="C3" s="25"/>
      <c r="D3" s="25"/>
      <c r="E3" s="25"/>
      <c r="F3" s="25"/>
      <c r="G3" s="25"/>
      <c r="H3" s="25"/>
      <c r="I3" s="25"/>
      <c r="J3" s="25"/>
      <c r="K3" s="26"/>
    </row>
    <row r="4" spans="1:11" ht="16.5" thickBot="1" x14ac:dyDescent="0.3">
      <c r="A4" s="78"/>
      <c r="B4" s="77"/>
      <c r="C4" s="36"/>
      <c r="D4" s="36"/>
      <c r="E4" s="36"/>
      <c r="F4" s="36"/>
      <c r="G4" s="36"/>
      <c r="H4" s="36"/>
      <c r="I4" s="36"/>
      <c r="J4" s="36"/>
      <c r="K4" s="37"/>
    </row>
    <row r="5" spans="1:11" ht="16.5" thickBot="1" x14ac:dyDescent="0.3">
      <c r="A5" s="80"/>
      <c r="B5" s="76"/>
      <c r="C5" s="25"/>
      <c r="D5" s="25"/>
      <c r="E5" s="25"/>
      <c r="F5" s="25"/>
      <c r="G5" s="25"/>
      <c r="H5" s="25"/>
      <c r="I5" s="25"/>
      <c r="J5" s="25"/>
      <c r="K5" s="26"/>
    </row>
    <row r="6" spans="1:11" ht="16.5" thickBot="1" x14ac:dyDescent="0.3">
      <c r="A6" s="78"/>
      <c r="B6" s="35"/>
      <c r="C6" s="36"/>
      <c r="D6" s="36"/>
      <c r="E6" s="36"/>
      <c r="F6" s="36"/>
      <c r="G6" s="36"/>
      <c r="H6" s="36"/>
      <c r="I6" s="36"/>
      <c r="J6" s="36"/>
      <c r="K6" s="37"/>
    </row>
    <row r="7" spans="1:11" ht="16.5" thickBot="1" x14ac:dyDescent="0.3">
      <c r="A7" s="80"/>
      <c r="B7" s="59"/>
      <c r="C7" s="60"/>
      <c r="D7" s="60"/>
      <c r="E7" s="60"/>
      <c r="F7" s="60"/>
      <c r="G7" s="60"/>
      <c r="H7" s="60"/>
      <c r="I7" s="60"/>
      <c r="J7" s="60"/>
      <c r="K7" s="61"/>
    </row>
    <row r="8" spans="1:11" ht="16.5" thickBot="1" x14ac:dyDescent="0.3">
      <c r="A8" s="78"/>
      <c r="B8" s="38"/>
      <c r="C8" s="36"/>
      <c r="D8" s="36"/>
      <c r="E8" s="36"/>
      <c r="F8" s="36"/>
      <c r="G8" s="36"/>
      <c r="H8" s="36"/>
      <c r="I8" s="36"/>
      <c r="J8" s="36"/>
      <c r="K8" s="39"/>
    </row>
    <row r="9" spans="1:11" ht="16.5" thickBot="1" x14ac:dyDescent="0.3">
      <c r="A9" s="80"/>
      <c r="B9" s="62"/>
      <c r="C9" s="60"/>
      <c r="D9" s="60"/>
      <c r="E9" s="60"/>
      <c r="F9" s="60"/>
      <c r="G9" s="60"/>
      <c r="H9" s="60"/>
      <c r="I9" s="60"/>
      <c r="J9" s="60"/>
      <c r="K9" s="63"/>
    </row>
    <row r="10" spans="1:11" ht="16.5" thickBot="1" x14ac:dyDescent="0.3">
      <c r="A10" s="78"/>
      <c r="B10" s="38"/>
      <c r="C10" s="36"/>
      <c r="D10" s="36"/>
      <c r="E10" s="36"/>
      <c r="F10" s="36"/>
      <c r="G10" s="36"/>
      <c r="H10" s="36"/>
      <c r="I10" s="36"/>
      <c r="J10" s="36"/>
      <c r="K10" s="39"/>
    </row>
    <row r="11" spans="1:11" ht="16.5" thickBot="1" x14ac:dyDescent="0.3">
      <c r="A11" s="80"/>
      <c r="B11" s="62"/>
      <c r="C11" s="60"/>
      <c r="D11" s="60"/>
      <c r="E11" s="60"/>
      <c r="F11" s="60"/>
      <c r="G11" s="60"/>
      <c r="H11" s="60"/>
      <c r="I11" s="60"/>
      <c r="J11" s="60"/>
      <c r="K11" s="63"/>
    </row>
    <row r="12" spans="1:11" ht="16.5" thickBot="1" x14ac:dyDescent="0.3">
      <c r="A12" s="78"/>
      <c r="B12" s="38"/>
      <c r="C12" s="36"/>
      <c r="D12" s="36"/>
      <c r="E12" s="36"/>
      <c r="F12" s="36"/>
      <c r="G12" s="36"/>
      <c r="H12" s="36"/>
      <c r="I12" s="36"/>
      <c r="J12" s="36"/>
      <c r="K12" s="39"/>
    </row>
    <row r="13" spans="1:11" ht="16.5" thickBot="1" x14ac:dyDescent="0.3">
      <c r="A13" s="80"/>
      <c r="B13" s="62"/>
      <c r="C13" s="60"/>
      <c r="D13" s="60"/>
      <c r="E13" s="60"/>
      <c r="F13" s="60"/>
      <c r="G13" s="60"/>
      <c r="H13" s="60"/>
      <c r="I13" s="60"/>
      <c r="J13" s="60"/>
      <c r="K13" s="63"/>
    </row>
    <row r="14" spans="1:11" ht="16.5" thickBot="1" x14ac:dyDescent="0.3">
      <c r="A14" s="78"/>
      <c r="B14" s="38"/>
      <c r="C14" s="36"/>
      <c r="D14" s="36"/>
      <c r="E14" s="36"/>
      <c r="F14" s="36"/>
      <c r="G14" s="36"/>
      <c r="H14" s="36"/>
      <c r="I14" s="36"/>
      <c r="J14" s="36"/>
      <c r="K14" s="39"/>
    </row>
    <row r="15" spans="1:11" ht="16.5" thickBot="1" x14ac:dyDescent="0.3">
      <c r="A15" s="80"/>
      <c r="B15" s="62"/>
      <c r="C15" s="60"/>
      <c r="D15" s="60"/>
      <c r="E15" s="60"/>
      <c r="F15" s="60"/>
      <c r="G15" s="60"/>
      <c r="H15" s="60"/>
      <c r="I15" s="60"/>
      <c r="J15" s="60"/>
      <c r="K15" s="63"/>
    </row>
    <row r="16" spans="1:11" ht="16.5" thickBot="1" x14ac:dyDescent="0.3">
      <c r="A16" s="78"/>
      <c r="B16" s="55"/>
      <c r="C16" s="56"/>
      <c r="D16" s="56"/>
      <c r="E16" s="56"/>
      <c r="F16" s="56"/>
      <c r="G16" s="56"/>
      <c r="H16" s="56"/>
      <c r="I16" s="56"/>
      <c r="J16" s="56"/>
      <c r="K16" s="57"/>
    </row>
    <row r="17" spans="1:11" ht="15.75" x14ac:dyDescent="0.25">
      <c r="A17" s="80"/>
      <c r="B17" s="66"/>
      <c r="C17" s="67"/>
      <c r="D17" s="67"/>
      <c r="E17" s="67"/>
      <c r="F17" s="67"/>
      <c r="G17" s="67"/>
      <c r="H17" s="67"/>
      <c r="I17" s="67"/>
      <c r="J17" s="67"/>
      <c r="K17" s="68"/>
    </row>
    <row r="18" spans="1:11" ht="15.75" x14ac:dyDescent="0.25">
      <c r="A18" s="30"/>
      <c r="B18" s="55"/>
      <c r="C18" s="56"/>
      <c r="D18" s="56"/>
      <c r="E18" s="56"/>
      <c r="F18" s="56"/>
      <c r="G18" s="56"/>
      <c r="H18" s="56"/>
      <c r="I18" s="56"/>
      <c r="J18" s="56"/>
      <c r="K18" s="57"/>
    </row>
    <row r="19" spans="1:11" ht="15.75" x14ac:dyDescent="0.25">
      <c r="A19" s="29"/>
      <c r="B19" s="66"/>
      <c r="C19" s="67"/>
      <c r="D19" s="67"/>
      <c r="E19" s="67"/>
      <c r="F19" s="67"/>
      <c r="G19" s="67"/>
      <c r="H19" s="67"/>
      <c r="I19" s="67"/>
      <c r="J19" s="67"/>
      <c r="K19" s="68"/>
    </row>
    <row r="20" spans="1:11" ht="15.75" x14ac:dyDescent="0.25">
      <c r="A20" s="30"/>
      <c r="B20" s="55"/>
      <c r="C20" s="56"/>
      <c r="D20" s="56"/>
      <c r="E20" s="56"/>
      <c r="F20" s="56"/>
      <c r="G20" s="56"/>
      <c r="H20" s="56"/>
      <c r="I20" s="56"/>
      <c r="J20" s="56"/>
      <c r="K20" s="57"/>
    </row>
    <row r="21" spans="1:11" ht="15.75" x14ac:dyDescent="0.25">
      <c r="A21" s="29"/>
      <c r="B21" s="66"/>
      <c r="C21" s="67"/>
      <c r="D21" s="67"/>
      <c r="E21" s="67"/>
      <c r="F21" s="67"/>
      <c r="G21" s="67"/>
      <c r="H21" s="67"/>
      <c r="I21" s="67"/>
      <c r="J21" s="67"/>
      <c r="K21" s="68"/>
    </row>
    <row r="22" spans="1:11" ht="15.75" x14ac:dyDescent="0.25">
      <c r="A22" s="30"/>
      <c r="B22" s="55"/>
      <c r="C22" s="56"/>
      <c r="D22" s="56"/>
      <c r="E22" s="56"/>
      <c r="F22" s="56"/>
      <c r="G22" s="56"/>
      <c r="H22" s="56"/>
      <c r="I22" s="56"/>
      <c r="J22" s="56"/>
      <c r="K22" s="57"/>
    </row>
    <row r="23" spans="1:11" ht="15.75" x14ac:dyDescent="0.25">
      <c r="A23" s="29"/>
      <c r="B23" s="66"/>
      <c r="C23" s="67"/>
      <c r="D23" s="67"/>
      <c r="E23" s="67"/>
      <c r="F23" s="67"/>
      <c r="G23" s="67"/>
      <c r="H23" s="67"/>
      <c r="I23" s="67"/>
      <c r="J23" s="67"/>
      <c r="K23" s="68"/>
    </row>
    <row r="24" spans="1:11" ht="15.75" x14ac:dyDescent="0.25">
      <c r="A24" s="30"/>
      <c r="B24" s="55"/>
      <c r="C24" s="56"/>
      <c r="D24" s="56"/>
      <c r="E24" s="56"/>
      <c r="F24" s="56"/>
      <c r="G24" s="56"/>
      <c r="H24" s="56"/>
      <c r="I24" s="56"/>
      <c r="J24" s="56"/>
      <c r="K24" s="57"/>
    </row>
    <row r="25" spans="1:11" ht="15.75" x14ac:dyDescent="0.25">
      <c r="A25" s="29"/>
      <c r="B25" s="66"/>
      <c r="C25" s="67"/>
      <c r="D25" s="67"/>
      <c r="E25" s="67"/>
      <c r="F25" s="67"/>
      <c r="G25" s="67"/>
      <c r="H25" s="67"/>
      <c r="I25" s="67"/>
      <c r="J25" s="67"/>
      <c r="K25" s="68"/>
    </row>
    <row r="26" spans="1:11" ht="15.75" x14ac:dyDescent="0.25">
      <c r="A26" s="30"/>
      <c r="B26" s="55"/>
      <c r="C26" s="56"/>
      <c r="D26" s="56"/>
      <c r="E26" s="56"/>
      <c r="F26" s="56"/>
      <c r="G26" s="56"/>
      <c r="H26" s="56"/>
      <c r="I26" s="56"/>
      <c r="J26" s="56"/>
      <c r="K26" s="57"/>
    </row>
    <row r="27" spans="1:11" ht="16.5" thickBot="1" x14ac:dyDescent="0.3">
      <c r="A27" s="79"/>
      <c r="B27" s="69"/>
      <c r="C27" s="70"/>
      <c r="D27" s="70"/>
      <c r="E27" s="70"/>
      <c r="F27" s="70"/>
      <c r="G27" s="70"/>
      <c r="H27" s="70"/>
      <c r="I27" s="70"/>
      <c r="J27" s="70"/>
      <c r="K27" s="71"/>
    </row>
    <row r="28" spans="1:11" ht="19.5" thickBot="1" x14ac:dyDescent="0.3">
      <c r="B28" s="5">
        <f t="shared" ref="B28:J28" si="0">SUM(B2:B27)</f>
        <v>0</v>
      </c>
      <c r="C28" s="5">
        <f t="shared" si="0"/>
        <v>0</v>
      </c>
      <c r="D28" s="5">
        <f t="shared" si="0"/>
        <v>0</v>
      </c>
      <c r="E28" s="5">
        <f t="shared" si="0"/>
        <v>0</v>
      </c>
      <c r="F28" s="5">
        <f>SUM(F2:F27)</f>
        <v>0</v>
      </c>
      <c r="G28" s="5">
        <f>SUM(G2:G27)</f>
        <v>0</v>
      </c>
      <c r="H28" s="5">
        <f t="shared" si="0"/>
        <v>0</v>
      </c>
      <c r="I28" s="5">
        <f t="shared" si="0"/>
        <v>0</v>
      </c>
      <c r="J28" s="5">
        <f t="shared" si="0"/>
        <v>0</v>
      </c>
      <c r="K28" s="5">
        <f t="shared" ref="K28" si="1">SUM(K4:K27)</f>
        <v>0</v>
      </c>
    </row>
    <row r="29" spans="1:11" ht="15.75" thickBot="1" x14ac:dyDescent="0.3">
      <c r="B29" s="2" t="s">
        <v>0</v>
      </c>
      <c r="C29" s="3" t="s">
        <v>1</v>
      </c>
      <c r="D29" s="2" t="s">
        <v>2</v>
      </c>
      <c r="E29" s="2" t="s">
        <v>25</v>
      </c>
      <c r="F29" s="4" t="s">
        <v>3</v>
      </c>
      <c r="G29" s="2" t="s">
        <v>4</v>
      </c>
      <c r="H29" s="4" t="s">
        <v>5</v>
      </c>
      <c r="I29" s="2" t="s">
        <v>6</v>
      </c>
      <c r="J29" s="4" t="s">
        <v>7</v>
      </c>
      <c r="K29" s="2"/>
    </row>
    <row r="30" spans="1:11" ht="15.75" thickBot="1" x14ac:dyDescent="0.3"/>
    <row r="31" spans="1:11" ht="18.75" x14ac:dyDescent="0.3">
      <c r="B31" s="87" t="s">
        <v>8</v>
      </c>
      <c r="C31" s="88"/>
      <c r="D31" s="88"/>
      <c r="E31" s="88"/>
      <c r="F31" s="87" t="s">
        <v>9</v>
      </c>
      <c r="G31" s="89"/>
      <c r="H31" s="88" t="s">
        <v>10</v>
      </c>
      <c r="I31" s="88"/>
      <c r="J31" s="89"/>
      <c r="K31" s="16"/>
    </row>
    <row r="32" spans="1:11" x14ac:dyDescent="0.25">
      <c r="B32" s="90">
        <f>B28+C28+D28+E28</f>
        <v>0</v>
      </c>
      <c r="C32" s="91"/>
      <c r="D32" s="91"/>
      <c r="E32" s="91"/>
      <c r="F32" s="90">
        <f>F28+G28</f>
        <v>0</v>
      </c>
      <c r="G32" s="94"/>
      <c r="H32" s="96">
        <f>H28+I28+J28</f>
        <v>0</v>
      </c>
      <c r="I32" s="91"/>
      <c r="J32" s="94"/>
      <c r="K32" s="97">
        <f>B32+F32+H32</f>
        <v>0</v>
      </c>
    </row>
    <row r="33" spans="2:11" ht="15.75" thickBot="1" x14ac:dyDescent="0.3">
      <c r="B33" s="92"/>
      <c r="C33" s="93"/>
      <c r="D33" s="93"/>
      <c r="E33" s="93"/>
      <c r="F33" s="92"/>
      <c r="G33" s="95"/>
      <c r="H33" s="93"/>
      <c r="I33" s="93"/>
      <c r="J33" s="95"/>
      <c r="K33" s="98"/>
    </row>
  </sheetData>
  <mergeCells count="8">
    <mergeCell ref="B1:K1"/>
    <mergeCell ref="B31:E31"/>
    <mergeCell ref="F31:G31"/>
    <mergeCell ref="H31:J31"/>
    <mergeCell ref="B32:E33"/>
    <mergeCell ref="F32:G33"/>
    <mergeCell ref="H32:J33"/>
    <mergeCell ref="K32:K33"/>
  </mergeCells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A0BA8-F7F8-41EF-AB17-1B2FE3CA47C5}">
  <dimension ref="A1:K33"/>
  <sheetViews>
    <sheetView topLeftCell="A8" workbookViewId="0">
      <selection activeCell="N18" sqref="N18"/>
    </sheetView>
  </sheetViews>
  <sheetFormatPr defaultRowHeight="15" x14ac:dyDescent="0.25"/>
  <cols>
    <col min="1" max="1" width="18.28515625" customWidth="1"/>
    <col min="2" max="2" width="11.42578125" customWidth="1"/>
    <col min="3" max="3" width="11.85546875" customWidth="1"/>
    <col min="4" max="4" width="13.140625" customWidth="1"/>
    <col min="5" max="5" width="12.7109375" customWidth="1"/>
    <col min="6" max="6" width="12.42578125" customWidth="1"/>
    <col min="7" max="7" width="12.140625" customWidth="1"/>
    <col min="8" max="8" width="13.140625" customWidth="1"/>
    <col min="9" max="9" width="11.28515625" customWidth="1"/>
    <col min="10" max="10" width="12.42578125" customWidth="1"/>
    <col min="11" max="11" width="13" customWidth="1"/>
  </cols>
  <sheetData>
    <row r="1" spans="1:11" ht="23.25" thickBot="1" x14ac:dyDescent="0.3">
      <c r="A1" s="44" t="s">
        <v>14</v>
      </c>
      <c r="B1" s="84" t="s">
        <v>40</v>
      </c>
      <c r="C1" s="85"/>
      <c r="D1" s="85"/>
      <c r="E1" s="85"/>
      <c r="F1" s="85"/>
      <c r="G1" s="85"/>
      <c r="H1" s="85"/>
      <c r="I1" s="85"/>
      <c r="J1" s="85"/>
      <c r="K1" s="86"/>
    </row>
    <row r="2" spans="1:11" ht="16.5" thickBot="1" x14ac:dyDescent="0.3">
      <c r="A2" s="78"/>
      <c r="B2" s="31"/>
      <c r="C2" s="32"/>
      <c r="D2" s="32"/>
      <c r="E2" s="32"/>
      <c r="F2" s="32"/>
      <c r="G2" s="32"/>
      <c r="H2" s="32"/>
      <c r="I2" s="32"/>
      <c r="J2" s="32"/>
      <c r="K2" s="33"/>
    </row>
    <row r="3" spans="1:11" ht="16.5" thickBot="1" x14ac:dyDescent="0.3">
      <c r="A3" s="80"/>
      <c r="B3" s="76"/>
      <c r="C3" s="25"/>
      <c r="D3" s="25"/>
      <c r="E3" s="25"/>
      <c r="F3" s="25"/>
      <c r="G3" s="25"/>
      <c r="H3" s="25"/>
      <c r="I3" s="25"/>
      <c r="J3" s="25"/>
      <c r="K3" s="26"/>
    </row>
    <row r="4" spans="1:11" ht="16.5" thickBot="1" x14ac:dyDescent="0.3">
      <c r="A4" s="78"/>
      <c r="B4" s="77"/>
      <c r="C4" s="36"/>
      <c r="D4" s="36"/>
      <c r="E4" s="36"/>
      <c r="F4" s="36"/>
      <c r="G4" s="36"/>
      <c r="H4" s="36"/>
      <c r="I4" s="36"/>
      <c r="J4" s="36"/>
      <c r="K4" s="37"/>
    </row>
    <row r="5" spans="1:11" ht="16.5" thickBot="1" x14ac:dyDescent="0.3">
      <c r="A5" s="80"/>
      <c r="B5" s="76"/>
      <c r="C5" s="25"/>
      <c r="D5" s="25"/>
      <c r="E5" s="25"/>
      <c r="F5" s="25"/>
      <c r="G5" s="25"/>
      <c r="H5" s="25"/>
      <c r="I5" s="25"/>
      <c r="J5" s="25"/>
      <c r="K5" s="26"/>
    </row>
    <row r="6" spans="1:11" ht="16.5" thickBot="1" x14ac:dyDescent="0.3">
      <c r="A6" s="78"/>
      <c r="B6" s="35"/>
      <c r="C6" s="36"/>
      <c r="D6" s="36"/>
      <c r="E6" s="36"/>
      <c r="F6" s="36"/>
      <c r="G6" s="36"/>
      <c r="H6" s="36"/>
      <c r="I6" s="36"/>
      <c r="J6" s="36"/>
      <c r="K6" s="37"/>
    </row>
    <row r="7" spans="1:11" ht="16.5" thickBot="1" x14ac:dyDescent="0.3">
      <c r="A7" s="80"/>
      <c r="B7" s="59"/>
      <c r="C7" s="60"/>
      <c r="D7" s="60"/>
      <c r="E7" s="60"/>
      <c r="F7" s="60"/>
      <c r="G7" s="60"/>
      <c r="H7" s="60"/>
      <c r="I7" s="60"/>
      <c r="J7" s="60"/>
      <c r="K7" s="61"/>
    </row>
    <row r="8" spans="1:11" ht="16.5" thickBot="1" x14ac:dyDescent="0.3">
      <c r="A8" s="78"/>
      <c r="B8" s="38"/>
      <c r="C8" s="36"/>
      <c r="D8" s="36"/>
      <c r="E8" s="36"/>
      <c r="F8" s="36"/>
      <c r="G8" s="36"/>
      <c r="H8" s="36"/>
      <c r="I8" s="36"/>
      <c r="J8" s="36"/>
      <c r="K8" s="39"/>
    </row>
    <row r="9" spans="1:11" ht="16.5" thickBot="1" x14ac:dyDescent="0.3">
      <c r="A9" s="80"/>
      <c r="B9" s="62"/>
      <c r="C9" s="60"/>
      <c r="D9" s="60"/>
      <c r="E9" s="60"/>
      <c r="F9" s="60"/>
      <c r="G9" s="60"/>
      <c r="H9" s="60"/>
      <c r="I9" s="60"/>
      <c r="J9" s="60"/>
      <c r="K9" s="63"/>
    </row>
    <row r="10" spans="1:11" ht="16.5" thickBot="1" x14ac:dyDescent="0.3">
      <c r="A10" s="78"/>
      <c r="B10" s="38"/>
      <c r="C10" s="36"/>
      <c r="D10" s="36"/>
      <c r="E10" s="36"/>
      <c r="F10" s="36"/>
      <c r="G10" s="36"/>
      <c r="H10" s="36"/>
      <c r="I10" s="36"/>
      <c r="J10" s="36"/>
      <c r="K10" s="39"/>
    </row>
    <row r="11" spans="1:11" ht="16.5" thickBot="1" x14ac:dyDescent="0.3">
      <c r="A11" s="80"/>
      <c r="B11" s="62"/>
      <c r="C11" s="60"/>
      <c r="D11" s="60"/>
      <c r="E11" s="60"/>
      <c r="F11" s="60"/>
      <c r="G11" s="60"/>
      <c r="H11" s="60"/>
      <c r="I11" s="60"/>
      <c r="J11" s="60"/>
      <c r="K11" s="63"/>
    </row>
    <row r="12" spans="1:11" ht="16.5" thickBot="1" x14ac:dyDescent="0.3">
      <c r="A12" s="78"/>
      <c r="B12" s="38"/>
      <c r="C12" s="36"/>
      <c r="D12" s="36"/>
      <c r="E12" s="36"/>
      <c r="F12" s="36"/>
      <c r="G12" s="36"/>
      <c r="H12" s="36"/>
      <c r="I12" s="36"/>
      <c r="J12" s="36"/>
      <c r="K12" s="39"/>
    </row>
    <row r="13" spans="1:11" ht="16.5" thickBot="1" x14ac:dyDescent="0.3">
      <c r="A13" s="80"/>
      <c r="B13" s="62"/>
      <c r="C13" s="60"/>
      <c r="D13" s="60"/>
      <c r="E13" s="60"/>
      <c r="F13" s="60"/>
      <c r="G13" s="60"/>
      <c r="H13" s="60"/>
      <c r="I13" s="60"/>
      <c r="J13" s="60"/>
      <c r="K13" s="63"/>
    </row>
    <row r="14" spans="1:11" ht="16.5" thickBot="1" x14ac:dyDescent="0.3">
      <c r="A14" s="78"/>
      <c r="B14" s="38"/>
      <c r="C14" s="36"/>
      <c r="D14" s="36"/>
      <c r="E14" s="36"/>
      <c r="F14" s="36"/>
      <c r="G14" s="36"/>
      <c r="H14" s="36"/>
      <c r="I14" s="36"/>
      <c r="J14" s="36"/>
      <c r="K14" s="39"/>
    </row>
    <row r="15" spans="1:11" ht="16.5" thickBot="1" x14ac:dyDescent="0.3">
      <c r="A15" s="80"/>
      <c r="B15" s="62"/>
      <c r="C15" s="60"/>
      <c r="D15" s="60"/>
      <c r="E15" s="60"/>
      <c r="F15" s="60"/>
      <c r="G15" s="60"/>
      <c r="H15" s="60"/>
      <c r="I15" s="60"/>
      <c r="J15" s="60"/>
      <c r="K15" s="63"/>
    </row>
    <row r="16" spans="1:11" ht="16.5" thickBot="1" x14ac:dyDescent="0.3">
      <c r="A16" s="78"/>
      <c r="B16" s="55"/>
      <c r="C16" s="56"/>
      <c r="D16" s="56"/>
      <c r="E16" s="56"/>
      <c r="F16" s="56"/>
      <c r="G16" s="56"/>
      <c r="H16" s="56"/>
      <c r="I16" s="56"/>
      <c r="J16" s="56"/>
      <c r="K16" s="57"/>
    </row>
    <row r="17" spans="1:11" ht="15.75" x14ac:dyDescent="0.25">
      <c r="A17" s="80"/>
      <c r="B17" s="66"/>
      <c r="C17" s="67"/>
      <c r="D17" s="67"/>
      <c r="E17" s="67"/>
      <c r="F17" s="67"/>
      <c r="G17" s="67"/>
      <c r="H17" s="67"/>
      <c r="I17" s="67"/>
      <c r="J17" s="67"/>
      <c r="K17" s="68"/>
    </row>
    <row r="18" spans="1:11" ht="15.75" x14ac:dyDescent="0.25">
      <c r="A18" s="30"/>
      <c r="B18" s="55"/>
      <c r="C18" s="56"/>
      <c r="D18" s="56"/>
      <c r="E18" s="56"/>
      <c r="F18" s="56"/>
      <c r="G18" s="56"/>
      <c r="H18" s="56"/>
      <c r="I18" s="56"/>
      <c r="J18" s="56"/>
      <c r="K18" s="57"/>
    </row>
    <row r="19" spans="1:11" ht="15.75" x14ac:dyDescent="0.25">
      <c r="A19" s="29"/>
      <c r="B19" s="66"/>
      <c r="C19" s="67"/>
      <c r="D19" s="67"/>
      <c r="E19" s="67"/>
      <c r="F19" s="67"/>
      <c r="G19" s="67"/>
      <c r="H19" s="67"/>
      <c r="I19" s="67"/>
      <c r="J19" s="67"/>
      <c r="K19" s="68"/>
    </row>
    <row r="20" spans="1:11" ht="15.75" x14ac:dyDescent="0.25">
      <c r="A20" s="30"/>
      <c r="B20" s="55"/>
      <c r="C20" s="56"/>
      <c r="D20" s="56"/>
      <c r="E20" s="56"/>
      <c r="F20" s="56"/>
      <c r="G20" s="56"/>
      <c r="H20" s="56"/>
      <c r="I20" s="56"/>
      <c r="J20" s="56"/>
      <c r="K20" s="57"/>
    </row>
    <row r="21" spans="1:11" ht="15.75" x14ac:dyDescent="0.25">
      <c r="A21" s="29"/>
      <c r="B21" s="66"/>
      <c r="C21" s="67"/>
      <c r="D21" s="67"/>
      <c r="E21" s="67"/>
      <c r="F21" s="67"/>
      <c r="G21" s="67"/>
      <c r="H21" s="67"/>
      <c r="I21" s="67"/>
      <c r="J21" s="67"/>
      <c r="K21" s="68"/>
    </row>
    <row r="22" spans="1:11" ht="15.75" x14ac:dyDescent="0.25">
      <c r="A22" s="30"/>
      <c r="B22" s="55"/>
      <c r="C22" s="56"/>
      <c r="D22" s="56"/>
      <c r="E22" s="56"/>
      <c r="F22" s="56"/>
      <c r="G22" s="56"/>
      <c r="H22" s="56"/>
      <c r="I22" s="56"/>
      <c r="J22" s="56"/>
      <c r="K22" s="57"/>
    </row>
    <row r="23" spans="1:11" ht="15.75" x14ac:dyDescent="0.25">
      <c r="A23" s="29"/>
      <c r="B23" s="66"/>
      <c r="C23" s="67"/>
      <c r="D23" s="67"/>
      <c r="E23" s="67"/>
      <c r="F23" s="67"/>
      <c r="G23" s="67"/>
      <c r="H23" s="67"/>
      <c r="I23" s="67"/>
      <c r="J23" s="67"/>
      <c r="K23" s="68"/>
    </row>
    <row r="24" spans="1:11" ht="15.75" x14ac:dyDescent="0.25">
      <c r="A24" s="30"/>
      <c r="B24" s="55"/>
      <c r="C24" s="56"/>
      <c r="D24" s="56"/>
      <c r="E24" s="56"/>
      <c r="F24" s="56"/>
      <c r="G24" s="56"/>
      <c r="H24" s="56"/>
      <c r="I24" s="56"/>
      <c r="J24" s="56"/>
      <c r="K24" s="57"/>
    </row>
    <row r="25" spans="1:11" ht="15.75" x14ac:dyDescent="0.25">
      <c r="A25" s="29"/>
      <c r="B25" s="66"/>
      <c r="C25" s="67"/>
      <c r="D25" s="67"/>
      <c r="E25" s="67"/>
      <c r="F25" s="67"/>
      <c r="G25" s="67"/>
      <c r="H25" s="67"/>
      <c r="I25" s="67"/>
      <c r="J25" s="67"/>
      <c r="K25" s="68"/>
    </row>
    <row r="26" spans="1:11" ht="15.75" x14ac:dyDescent="0.25">
      <c r="A26" s="30"/>
      <c r="B26" s="55"/>
      <c r="C26" s="56"/>
      <c r="D26" s="56"/>
      <c r="E26" s="56"/>
      <c r="F26" s="56"/>
      <c r="G26" s="56"/>
      <c r="H26" s="56"/>
      <c r="I26" s="56"/>
      <c r="J26" s="56"/>
      <c r="K26" s="57"/>
    </row>
    <row r="27" spans="1:11" ht="16.5" thickBot="1" x14ac:dyDescent="0.3">
      <c r="A27" s="79"/>
      <c r="B27" s="69"/>
      <c r="C27" s="70"/>
      <c r="D27" s="70"/>
      <c r="E27" s="70"/>
      <c r="F27" s="70"/>
      <c r="G27" s="70"/>
      <c r="H27" s="70"/>
      <c r="I27" s="70"/>
      <c r="J27" s="70"/>
      <c r="K27" s="71"/>
    </row>
    <row r="28" spans="1:11" ht="19.5" thickBot="1" x14ac:dyDescent="0.3">
      <c r="B28" s="5">
        <f t="shared" ref="B28:J28" si="0">SUM(B2:B27)</f>
        <v>0</v>
      </c>
      <c r="C28" s="5">
        <f t="shared" si="0"/>
        <v>0</v>
      </c>
      <c r="D28" s="5">
        <f t="shared" si="0"/>
        <v>0</v>
      </c>
      <c r="E28" s="5">
        <f t="shared" si="0"/>
        <v>0</v>
      </c>
      <c r="F28" s="5">
        <f>SUM(F2:F27)</f>
        <v>0</v>
      </c>
      <c r="G28" s="5">
        <f>SUM(G2:G27)</f>
        <v>0</v>
      </c>
      <c r="H28" s="5">
        <f t="shared" si="0"/>
        <v>0</v>
      </c>
      <c r="I28" s="5">
        <f t="shared" si="0"/>
        <v>0</v>
      </c>
      <c r="J28" s="5">
        <f t="shared" si="0"/>
        <v>0</v>
      </c>
      <c r="K28" s="5">
        <f t="shared" ref="K28" si="1">SUM(K4:K27)</f>
        <v>0</v>
      </c>
    </row>
    <row r="29" spans="1:11" ht="15.75" thickBot="1" x14ac:dyDescent="0.3">
      <c r="B29" s="2" t="s">
        <v>0</v>
      </c>
      <c r="C29" s="3" t="s">
        <v>1</v>
      </c>
      <c r="D29" s="2" t="s">
        <v>2</v>
      </c>
      <c r="E29" s="2" t="s">
        <v>25</v>
      </c>
      <c r="F29" s="4" t="s">
        <v>3</v>
      </c>
      <c r="G29" s="2" t="s">
        <v>4</v>
      </c>
      <c r="H29" s="4" t="s">
        <v>5</v>
      </c>
      <c r="I29" s="2" t="s">
        <v>6</v>
      </c>
      <c r="J29" s="4" t="s">
        <v>7</v>
      </c>
      <c r="K29" s="2"/>
    </row>
    <row r="30" spans="1:11" ht="15.75" thickBot="1" x14ac:dyDescent="0.3"/>
    <row r="31" spans="1:11" ht="18.75" x14ac:dyDescent="0.3">
      <c r="B31" s="87" t="s">
        <v>8</v>
      </c>
      <c r="C31" s="88"/>
      <c r="D31" s="88"/>
      <c r="E31" s="88"/>
      <c r="F31" s="87" t="s">
        <v>9</v>
      </c>
      <c r="G31" s="89"/>
      <c r="H31" s="88" t="s">
        <v>10</v>
      </c>
      <c r="I31" s="88"/>
      <c r="J31" s="89"/>
      <c r="K31" s="16"/>
    </row>
    <row r="32" spans="1:11" x14ac:dyDescent="0.25">
      <c r="B32" s="90">
        <f>B28+C28+D28+E28</f>
        <v>0</v>
      </c>
      <c r="C32" s="91"/>
      <c r="D32" s="91"/>
      <c r="E32" s="91"/>
      <c r="F32" s="90">
        <f>F28+G28</f>
        <v>0</v>
      </c>
      <c r="G32" s="94"/>
      <c r="H32" s="96">
        <f>H28+I28+J28</f>
        <v>0</v>
      </c>
      <c r="I32" s="91"/>
      <c r="J32" s="94"/>
      <c r="K32" s="97">
        <f>B32+F32+H32</f>
        <v>0</v>
      </c>
    </row>
    <row r="33" spans="2:11" ht="15.75" thickBot="1" x14ac:dyDescent="0.3">
      <c r="B33" s="92"/>
      <c r="C33" s="93"/>
      <c r="D33" s="93"/>
      <c r="E33" s="93"/>
      <c r="F33" s="92"/>
      <c r="G33" s="95"/>
      <c r="H33" s="93"/>
      <c r="I33" s="93"/>
      <c r="J33" s="95"/>
      <c r="K33" s="98"/>
    </row>
  </sheetData>
  <mergeCells count="8">
    <mergeCell ref="B1:K1"/>
    <mergeCell ref="B31:E31"/>
    <mergeCell ref="F31:G31"/>
    <mergeCell ref="H31:J31"/>
    <mergeCell ref="B32:E33"/>
    <mergeCell ref="F32:G33"/>
    <mergeCell ref="H32:J33"/>
    <mergeCell ref="K32:K33"/>
  </mergeCells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11785-3241-4409-A354-52D1362045E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28</vt:i4>
      </vt:variant>
    </vt:vector>
  </HeadingPairs>
  <TitlesOfParts>
    <vt:vector size="28" baseType="lpstr">
      <vt:lpstr>SETEMBRO - 2024  (3)</vt:lpstr>
      <vt:lpstr>SETEMBRO - 2024  (2)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FEVEREIRO - 2024</vt:lpstr>
      <vt:lpstr>ABRIL - 2024</vt:lpstr>
      <vt:lpstr>JUNHO - 2024</vt:lpstr>
      <vt:lpstr>JULHO - 2024 </vt:lpstr>
      <vt:lpstr>AGOSTO - 2024 </vt:lpstr>
      <vt:lpstr>SETEMBRO - 2024 </vt:lpstr>
      <vt:lpstr>FEVEREIRO - 2025 </vt:lpstr>
      <vt:lpstr>ABRIL-  2025</vt:lpstr>
      <vt:lpstr>MAIO - 2025 </vt:lpstr>
      <vt:lpstr>JUNHO - 2025</vt:lpstr>
      <vt:lpstr>JULHO - 2025 </vt:lpstr>
      <vt:lpstr>AGOSTO - 2025 </vt:lpstr>
      <vt:lpstr>SETEMBRO - 2025 </vt:lpstr>
      <vt:lpstr>OUTUBRO - 2025</vt:lpstr>
      <vt:lpstr>NOVEMBRO - 2025</vt:lpstr>
      <vt:lpstr>Planilha6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- Educação</dc:creator>
  <cp:lastModifiedBy>Você</cp:lastModifiedBy>
  <cp:lastPrinted>2025-03-12T13:33:19Z</cp:lastPrinted>
  <dcterms:created xsi:type="dcterms:W3CDTF">2023-04-18T10:25:24Z</dcterms:created>
  <dcterms:modified xsi:type="dcterms:W3CDTF">2025-09-12T11:23:54Z</dcterms:modified>
</cp:coreProperties>
</file>