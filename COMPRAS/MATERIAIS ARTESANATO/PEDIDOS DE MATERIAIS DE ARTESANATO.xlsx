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COMPRAS/MATERIAIS ARTESANATO/"/>
    </mc:Choice>
  </mc:AlternateContent>
  <xr:revisionPtr revIDLastSave="73" documentId="8_{D7672D63-5AE2-42D5-8589-A37CD71DB47A}" xr6:coauthVersionLast="47" xr6:coauthVersionMax="47" xr10:uidLastSave="{D8C9ADE1-2F83-497E-9898-E963CC8E09BA}"/>
  <bookViews>
    <workbookView xWindow="-120" yWindow="-120" windowWidth="20730" windowHeight="11160" activeTab="1" xr2:uid="{C6CF7C97-3C97-44FE-9F01-EA6402EF447D}"/>
  </bookViews>
  <sheets>
    <sheet name="AM&amp;C " sheetId="1" r:id="rId1"/>
    <sheet name="PAPEL CARTA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2" l="1"/>
  <c r="E59" i="2"/>
  <c r="E48" i="2"/>
  <c r="E46" i="2"/>
  <c r="E38" i="2"/>
  <c r="E25" i="2"/>
  <c r="E36" i="2"/>
  <c r="E14" i="2"/>
  <c r="E3" i="2"/>
  <c r="E21" i="1"/>
  <c r="E9" i="1"/>
  <c r="E15" i="1"/>
  <c r="E3" i="1"/>
</calcChain>
</file>

<file path=xl/sharedStrings.xml><?xml version="1.0" encoding="utf-8"?>
<sst xmlns="http://schemas.openxmlformats.org/spreadsheetml/2006/main" count="105" uniqueCount="60">
  <si>
    <t>ITEM</t>
  </si>
  <si>
    <t>DESCRIÇÃO</t>
  </si>
  <si>
    <t>QUANTIDADE</t>
  </si>
  <si>
    <t>COR</t>
  </si>
  <si>
    <t xml:space="preserve">BALÃO DE FESTA Nº 07 </t>
  </si>
  <si>
    <t>AZUL BEBE</t>
  </si>
  <si>
    <t>ROSA</t>
  </si>
  <si>
    <t>AMARELO</t>
  </si>
  <si>
    <t>VERMELHO</t>
  </si>
  <si>
    <t>BALÃO DE FESTA Nº 08</t>
  </si>
  <si>
    <t>TOTAL</t>
  </si>
  <si>
    <t>BALÃO DE FESTA Nº 09</t>
  </si>
  <si>
    <t>EVA 600 X 400 X 2 MM - PACOTE COM 10 UNIDADES</t>
  </si>
  <si>
    <t>BRANCO</t>
  </si>
  <si>
    <t>LARANJA</t>
  </si>
  <si>
    <t xml:space="preserve">AZUL </t>
  </si>
  <si>
    <t xml:space="preserve">VERDE </t>
  </si>
  <si>
    <t xml:space="preserve">FORNECEDOR 011903 - AM&amp;C DISTRIBUIDORA LTDA </t>
  </si>
  <si>
    <t xml:space="preserve">FORNECEDOR 9630 - PAPELARIA PAPEL CARTAZ LTDA </t>
  </si>
  <si>
    <t>AMAELA</t>
  </si>
  <si>
    <t>BEGE</t>
  </si>
  <si>
    <t>BRANCA</t>
  </si>
  <si>
    <t>LILÁS</t>
  </si>
  <si>
    <t>PRETA</t>
  </si>
  <si>
    <t>VERDE BANDEIRA</t>
  </si>
  <si>
    <t>VERDE LIMÃO</t>
  </si>
  <si>
    <r>
      <t xml:space="preserve">EVA </t>
    </r>
    <r>
      <rPr>
        <b/>
        <sz val="11"/>
        <color theme="1"/>
        <rFont val="Aptos Narrow"/>
        <family val="2"/>
        <scheme val="minor"/>
      </rPr>
      <t>ATOALHADO</t>
    </r>
    <r>
      <rPr>
        <sz val="11"/>
        <color theme="1"/>
        <rFont val="Aptos Narrow"/>
        <family val="2"/>
        <scheme val="minor"/>
      </rPr>
      <t xml:space="preserve"> 600X400X2MM </t>
    </r>
  </si>
  <si>
    <r>
      <t>EVA</t>
    </r>
    <r>
      <rPr>
        <b/>
        <sz val="11"/>
        <color theme="1"/>
        <rFont val="Aptos Narrow"/>
        <family val="2"/>
        <scheme val="minor"/>
      </rPr>
      <t xml:space="preserve"> GLITTER</t>
    </r>
    <r>
      <rPr>
        <sz val="11"/>
        <color theme="1"/>
        <rFont val="Aptos Narrow"/>
        <family val="2"/>
        <scheme val="minor"/>
      </rPr>
      <t xml:space="preserve"> 600X400X2M</t>
    </r>
  </si>
  <si>
    <t>FELTRO EM METRO 100% POLIESTER</t>
  </si>
  <si>
    <t>AMARELA CÍTRICO</t>
  </si>
  <si>
    <t>MARROM</t>
  </si>
  <si>
    <t>PELE</t>
  </si>
  <si>
    <t>ROSA BEBÊ</t>
  </si>
  <si>
    <t>VERDE BILHAR</t>
  </si>
  <si>
    <t>VIOLETA</t>
  </si>
  <si>
    <t>PRATA</t>
  </si>
  <si>
    <t xml:space="preserve">DOURADO </t>
  </si>
  <si>
    <t>FITILHO PLÁSTICO 5MMX50M - ROLO</t>
  </si>
  <si>
    <t>GLITTER 3GR</t>
  </si>
  <si>
    <t>ROXO</t>
  </si>
  <si>
    <t>VERDE</t>
  </si>
  <si>
    <t>PRETO</t>
  </si>
  <si>
    <t>AMARELO CLARO</t>
  </si>
  <si>
    <t>AZUL BEBÊ</t>
  </si>
  <si>
    <t>AZUL MARINHO</t>
  </si>
  <si>
    <t>LINHA 1000 PARA CROCHÊ 100% ALGODÃO</t>
  </si>
  <si>
    <t xml:space="preserve">MARROM </t>
  </si>
  <si>
    <t xml:space="preserve">TNT 45 G/M² ROLO 1,40X50M   </t>
  </si>
  <si>
    <t xml:space="preserve">AMARELO </t>
  </si>
  <si>
    <t>AZUL ROYAL</t>
  </si>
  <si>
    <t>VERDE ESCURO</t>
  </si>
  <si>
    <t>PINK</t>
  </si>
  <si>
    <t>LANTEJOULA METÁLICA 6MM (PCT COM 1000)</t>
  </si>
  <si>
    <t xml:space="preserve">TINTA PVA FOSCA PARA ARTESANATO 100ML </t>
  </si>
  <si>
    <t>AZUL TURQUEZA</t>
  </si>
  <si>
    <t>AMARELO OURO</t>
  </si>
  <si>
    <t xml:space="preserve">BRANCA </t>
  </si>
  <si>
    <t>VERDE MUSGO</t>
  </si>
  <si>
    <t xml:space="preserve">VERMELHO FOGO </t>
  </si>
  <si>
    <t xml:space="preserve">TNT 60 G/M² ROLO 1,40X100M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</si>
</sst>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0" fillId="0" borderId="1" xfId="0" applyFill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0" xfId="0" applyFont="1" applyBorder="1" applyAlignment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495-1B95-41AF-A0F0-083FE66229B8}">
  <dimension ref="A1:F64"/>
  <sheetViews>
    <sheetView workbookViewId="0">
      <selection activeCell="H29" sqref="H29"/>
    </sheetView>
  </sheetViews>
  <sheetFormatPr defaultRowHeight="15" x14ac:dyDescent="0.25"/>
  <cols>
    <col min="2" max="2" width="61.28515625" customWidth="1"/>
    <col min="3" max="3" width="15.7109375" customWidth="1"/>
    <col min="4" max="4" width="13.5703125" customWidth="1"/>
  </cols>
  <sheetData>
    <row r="1" spans="1:6" ht="15.75" thickBot="1" x14ac:dyDescent="0.3">
      <c r="A1" s="35" t="s">
        <v>17</v>
      </c>
      <c r="B1" s="36"/>
      <c r="C1" s="36"/>
      <c r="D1" s="36"/>
      <c r="E1" s="36"/>
      <c r="F1" s="13"/>
    </row>
    <row r="2" spans="1:6" ht="15.75" thickBot="1" x14ac:dyDescent="0.3">
      <c r="A2" s="10" t="s">
        <v>0</v>
      </c>
      <c r="B2" s="11" t="s">
        <v>1</v>
      </c>
      <c r="C2" s="11" t="s">
        <v>3</v>
      </c>
      <c r="D2" s="11" t="s">
        <v>2</v>
      </c>
      <c r="E2" s="12" t="s">
        <v>10</v>
      </c>
    </row>
    <row r="3" spans="1:6" x14ac:dyDescent="0.25">
      <c r="A3" s="37">
        <v>7</v>
      </c>
      <c r="B3" s="40" t="s">
        <v>4</v>
      </c>
      <c r="C3" s="4" t="s">
        <v>5</v>
      </c>
      <c r="D3" s="6">
        <v>1</v>
      </c>
      <c r="E3" s="43">
        <f>D3+D4+D5+D6+D7+D8</f>
        <v>2</v>
      </c>
    </row>
    <row r="4" spans="1:6" x14ac:dyDescent="0.25">
      <c r="A4" s="38"/>
      <c r="B4" s="41"/>
      <c r="C4" s="2" t="s">
        <v>6</v>
      </c>
      <c r="D4" s="1">
        <v>1</v>
      </c>
      <c r="E4" s="44"/>
    </row>
    <row r="5" spans="1:6" x14ac:dyDescent="0.25">
      <c r="A5" s="38"/>
      <c r="B5" s="41"/>
      <c r="C5" s="2"/>
      <c r="D5" s="1"/>
      <c r="E5" s="44"/>
    </row>
    <row r="6" spans="1:6" x14ac:dyDescent="0.25">
      <c r="A6" s="38"/>
      <c r="B6" s="41"/>
      <c r="C6" s="2"/>
      <c r="D6" s="1"/>
      <c r="E6" s="44"/>
    </row>
    <row r="7" spans="1:6" x14ac:dyDescent="0.25">
      <c r="A7" s="38"/>
      <c r="B7" s="41"/>
      <c r="C7" s="2"/>
      <c r="D7" s="1"/>
      <c r="E7" s="44"/>
    </row>
    <row r="8" spans="1:6" ht="15.75" thickBot="1" x14ac:dyDescent="0.3">
      <c r="A8" s="53"/>
      <c r="B8" s="52"/>
      <c r="C8" s="5"/>
      <c r="D8" s="7"/>
      <c r="E8" s="51"/>
    </row>
    <row r="9" spans="1:6" x14ac:dyDescent="0.25">
      <c r="A9" s="37">
        <v>8</v>
      </c>
      <c r="B9" s="40" t="s">
        <v>9</v>
      </c>
      <c r="C9" s="4" t="s">
        <v>14</v>
      </c>
      <c r="D9" s="6">
        <v>1</v>
      </c>
      <c r="E9" s="43">
        <f t="shared" ref="E9" si="0">D9+D10+D11+D12+D13+D14</f>
        <v>2</v>
      </c>
    </row>
    <row r="10" spans="1:6" x14ac:dyDescent="0.25">
      <c r="A10" s="38"/>
      <c r="B10" s="41"/>
      <c r="C10" s="2" t="s">
        <v>7</v>
      </c>
      <c r="D10" s="1">
        <v>1</v>
      </c>
      <c r="E10" s="44"/>
    </row>
    <row r="11" spans="1:6" x14ac:dyDescent="0.25">
      <c r="A11" s="38"/>
      <c r="B11" s="41"/>
      <c r="C11" s="2"/>
      <c r="D11" s="1"/>
      <c r="E11" s="44"/>
    </row>
    <row r="12" spans="1:6" x14ac:dyDescent="0.25">
      <c r="A12" s="38"/>
      <c r="B12" s="41"/>
      <c r="C12" s="2"/>
      <c r="D12" s="1"/>
      <c r="E12" s="44"/>
    </row>
    <row r="13" spans="1:6" x14ac:dyDescent="0.25">
      <c r="A13" s="38"/>
      <c r="B13" s="41"/>
      <c r="C13" s="2"/>
      <c r="D13" s="1"/>
      <c r="E13" s="44"/>
    </row>
    <row r="14" spans="1:6" ht="15.75" thickBot="1" x14ac:dyDescent="0.3">
      <c r="A14" s="53"/>
      <c r="B14" s="52"/>
      <c r="C14" s="5"/>
      <c r="D14" s="7"/>
      <c r="E14" s="51"/>
    </row>
    <row r="15" spans="1:6" x14ac:dyDescent="0.25">
      <c r="A15" s="37">
        <v>9</v>
      </c>
      <c r="B15" s="40" t="s">
        <v>11</v>
      </c>
      <c r="C15" s="4" t="s">
        <v>8</v>
      </c>
      <c r="D15" s="6">
        <v>1</v>
      </c>
      <c r="E15" s="43">
        <f t="shared" ref="E15" si="1">D15+D16+D17+D18+D19+D20</f>
        <v>2</v>
      </c>
    </row>
    <row r="16" spans="1:6" x14ac:dyDescent="0.25">
      <c r="A16" s="38"/>
      <c r="B16" s="41"/>
      <c r="C16" s="2" t="s">
        <v>13</v>
      </c>
      <c r="D16" s="1">
        <v>1</v>
      </c>
      <c r="E16" s="44"/>
    </row>
    <row r="17" spans="1:5" x14ac:dyDescent="0.25">
      <c r="A17" s="38"/>
      <c r="B17" s="41"/>
      <c r="C17" s="2"/>
      <c r="D17" s="1"/>
      <c r="E17" s="44"/>
    </row>
    <row r="18" spans="1:5" x14ac:dyDescent="0.25">
      <c r="A18" s="38"/>
      <c r="B18" s="41"/>
      <c r="C18" s="2"/>
      <c r="D18" s="1"/>
      <c r="E18" s="44"/>
    </row>
    <row r="19" spans="1:5" x14ac:dyDescent="0.25">
      <c r="A19" s="38"/>
      <c r="B19" s="41"/>
      <c r="C19" s="2"/>
      <c r="D19" s="1"/>
      <c r="E19" s="44"/>
    </row>
    <row r="20" spans="1:5" ht="15.75" thickBot="1" x14ac:dyDescent="0.3">
      <c r="A20" s="39"/>
      <c r="B20" s="42"/>
      <c r="C20" s="8"/>
      <c r="D20" s="3"/>
      <c r="E20" s="44"/>
    </row>
    <row r="21" spans="1:5" x14ac:dyDescent="0.25">
      <c r="A21" s="48">
        <v>24</v>
      </c>
      <c r="B21" s="45" t="s">
        <v>12</v>
      </c>
      <c r="C21" s="4" t="s">
        <v>6</v>
      </c>
      <c r="D21" s="6">
        <v>1</v>
      </c>
      <c r="E21" s="43">
        <f>D21+D22+D23+D24+D25+D26+D27+D28+D29</f>
        <v>4</v>
      </c>
    </row>
    <row r="22" spans="1:5" x14ac:dyDescent="0.25">
      <c r="A22" s="49"/>
      <c r="B22" s="46"/>
      <c r="C22" s="2" t="s">
        <v>15</v>
      </c>
      <c r="D22" s="1">
        <v>1</v>
      </c>
      <c r="E22" s="44"/>
    </row>
    <row r="23" spans="1:5" x14ac:dyDescent="0.25">
      <c r="A23" s="49"/>
      <c r="B23" s="46"/>
      <c r="C23" s="2" t="s">
        <v>16</v>
      </c>
      <c r="D23" s="1">
        <v>1</v>
      </c>
      <c r="E23" s="44"/>
    </row>
    <row r="24" spans="1:5" x14ac:dyDescent="0.25">
      <c r="A24" s="49"/>
      <c r="B24" s="46"/>
      <c r="C24" s="2" t="s">
        <v>7</v>
      </c>
      <c r="D24" s="1">
        <v>1</v>
      </c>
      <c r="E24" s="44"/>
    </row>
    <row r="25" spans="1:5" x14ac:dyDescent="0.25">
      <c r="A25" s="49"/>
      <c r="B25" s="46"/>
      <c r="C25" s="2"/>
      <c r="D25" s="1"/>
      <c r="E25" s="44"/>
    </row>
    <row r="26" spans="1:5" x14ac:dyDescent="0.25">
      <c r="A26" s="49"/>
      <c r="B26" s="46"/>
      <c r="C26" s="2"/>
      <c r="D26" s="1"/>
      <c r="E26" s="44"/>
    </row>
    <row r="27" spans="1:5" x14ac:dyDescent="0.25">
      <c r="A27" s="49"/>
      <c r="B27" s="46"/>
      <c r="C27" s="9"/>
      <c r="D27" s="2"/>
      <c r="E27" s="44"/>
    </row>
    <row r="28" spans="1:5" x14ac:dyDescent="0.25">
      <c r="A28" s="49"/>
      <c r="B28" s="46"/>
      <c r="C28" s="2"/>
      <c r="D28" s="2"/>
      <c r="E28" s="44"/>
    </row>
    <row r="29" spans="1:5" ht="15.75" thickBot="1" x14ac:dyDescent="0.3">
      <c r="A29" s="50"/>
      <c r="B29" s="47"/>
      <c r="C29" s="5"/>
      <c r="D29" s="5"/>
      <c r="E29" s="51"/>
    </row>
    <row r="31" spans="1:5" x14ac:dyDescent="0.25">
      <c r="A31" s="34"/>
      <c r="B31" s="34"/>
      <c r="C31" s="34"/>
      <c r="D31" s="34"/>
      <c r="E31" s="34"/>
    </row>
    <row r="32" spans="1:5" x14ac:dyDescent="0.25">
      <c r="A32" s="20"/>
      <c r="B32" s="20"/>
      <c r="C32" s="20"/>
      <c r="D32" s="20"/>
      <c r="E32" s="21"/>
    </row>
    <row r="33" spans="1:5" x14ac:dyDescent="0.25">
      <c r="A33" s="33"/>
      <c r="B33" s="33"/>
      <c r="C33" s="22"/>
      <c r="D33" s="23"/>
      <c r="E33" s="33"/>
    </row>
    <row r="34" spans="1:5" x14ac:dyDescent="0.25">
      <c r="A34" s="33"/>
      <c r="B34" s="33"/>
      <c r="C34" s="22"/>
      <c r="D34" s="23"/>
      <c r="E34" s="33"/>
    </row>
    <row r="35" spans="1:5" x14ac:dyDescent="0.25">
      <c r="A35" s="33"/>
      <c r="B35" s="33"/>
      <c r="C35" s="22"/>
      <c r="D35" s="23"/>
      <c r="E35" s="33"/>
    </row>
    <row r="36" spans="1:5" x14ac:dyDescent="0.25">
      <c r="A36" s="33"/>
      <c r="B36" s="33"/>
      <c r="C36" s="22"/>
      <c r="D36" s="23"/>
      <c r="E36" s="33"/>
    </row>
    <row r="37" spans="1:5" x14ac:dyDescent="0.25">
      <c r="A37" s="33"/>
      <c r="B37" s="33"/>
      <c r="C37" s="22"/>
      <c r="D37" s="23"/>
      <c r="E37" s="33"/>
    </row>
    <row r="38" spans="1:5" x14ac:dyDescent="0.25">
      <c r="A38" s="33"/>
      <c r="B38" s="33"/>
      <c r="C38" s="22"/>
      <c r="D38" s="23"/>
      <c r="E38" s="33"/>
    </row>
    <row r="39" spans="1:5" x14ac:dyDescent="0.25">
      <c r="A39" s="33"/>
      <c r="B39" s="33"/>
      <c r="C39" s="22"/>
      <c r="D39" s="23"/>
      <c r="E39" s="33"/>
    </row>
    <row r="40" spans="1:5" x14ac:dyDescent="0.25">
      <c r="A40" s="33"/>
      <c r="B40" s="33"/>
      <c r="C40" s="22"/>
      <c r="D40" s="23"/>
      <c r="E40" s="33"/>
    </row>
    <row r="41" spans="1:5" x14ac:dyDescent="0.25">
      <c r="A41" s="33"/>
      <c r="B41" s="33"/>
      <c r="C41" s="22"/>
      <c r="D41" s="23"/>
      <c r="E41" s="33"/>
    </row>
    <row r="42" spans="1:5" x14ac:dyDescent="0.25">
      <c r="A42" s="33"/>
      <c r="B42" s="33"/>
      <c r="C42" s="22"/>
      <c r="D42" s="23"/>
      <c r="E42" s="33"/>
    </row>
    <row r="43" spans="1:5" x14ac:dyDescent="0.25">
      <c r="A43" s="33"/>
      <c r="B43" s="33"/>
      <c r="C43" s="22"/>
      <c r="D43" s="23"/>
      <c r="E43" s="33"/>
    </row>
    <row r="44" spans="1:5" x14ac:dyDescent="0.25">
      <c r="A44" s="33"/>
      <c r="B44" s="33"/>
      <c r="C44" s="22"/>
      <c r="D44" s="23"/>
      <c r="E44" s="33"/>
    </row>
    <row r="45" spans="1:5" x14ac:dyDescent="0.25">
      <c r="A45" s="33"/>
      <c r="B45" s="33"/>
      <c r="C45" s="22"/>
      <c r="D45" s="23"/>
      <c r="E45" s="33"/>
    </row>
    <row r="46" spans="1:5" x14ac:dyDescent="0.25">
      <c r="A46" s="33"/>
      <c r="B46" s="33"/>
      <c r="C46" s="22"/>
      <c r="D46" s="23"/>
      <c r="E46" s="33"/>
    </row>
    <row r="47" spans="1:5" x14ac:dyDescent="0.25">
      <c r="A47" s="33"/>
      <c r="B47" s="33"/>
      <c r="C47" s="22"/>
      <c r="D47" s="23"/>
      <c r="E47" s="33"/>
    </row>
    <row r="48" spans="1:5" x14ac:dyDescent="0.25">
      <c r="A48" s="33"/>
      <c r="B48" s="33"/>
      <c r="C48" s="22"/>
      <c r="D48" s="23"/>
      <c r="E48" s="33"/>
    </row>
    <row r="49" spans="1:5" x14ac:dyDescent="0.25">
      <c r="A49" s="33"/>
      <c r="B49" s="33"/>
      <c r="C49" s="22"/>
      <c r="D49" s="23"/>
      <c r="E49" s="33"/>
    </row>
    <row r="50" spans="1:5" x14ac:dyDescent="0.25">
      <c r="A50" s="33"/>
      <c r="B50" s="33"/>
      <c r="C50" s="22"/>
      <c r="D50" s="23"/>
      <c r="E50" s="33"/>
    </row>
    <row r="51" spans="1:5" x14ac:dyDescent="0.25">
      <c r="A51" s="33"/>
      <c r="B51" s="33"/>
      <c r="C51" s="22"/>
      <c r="D51" s="23"/>
      <c r="E51" s="33"/>
    </row>
    <row r="52" spans="1:5" x14ac:dyDescent="0.25">
      <c r="A52" s="33"/>
      <c r="B52" s="33"/>
      <c r="C52" s="22"/>
      <c r="D52" s="23"/>
      <c r="E52" s="33"/>
    </row>
    <row r="53" spans="1:5" x14ac:dyDescent="0.25">
      <c r="A53" s="33"/>
      <c r="B53" s="33"/>
      <c r="C53" s="22"/>
      <c r="D53" s="23"/>
      <c r="E53" s="33"/>
    </row>
    <row r="54" spans="1:5" x14ac:dyDescent="0.25">
      <c r="A54" s="33"/>
      <c r="B54" s="33"/>
      <c r="C54" s="22"/>
      <c r="D54" s="23"/>
      <c r="E54" s="33"/>
    </row>
    <row r="55" spans="1:5" x14ac:dyDescent="0.25">
      <c r="A55" s="33"/>
      <c r="B55" s="33"/>
      <c r="C55" s="22"/>
      <c r="D55" s="23"/>
      <c r="E55" s="33"/>
    </row>
    <row r="56" spans="1:5" x14ac:dyDescent="0.25">
      <c r="A56" s="33"/>
      <c r="B56" s="33"/>
      <c r="C56" s="22"/>
      <c r="D56" s="23"/>
      <c r="E56" s="33"/>
    </row>
    <row r="57" spans="1:5" x14ac:dyDescent="0.25">
      <c r="A57" s="33"/>
      <c r="B57" s="33"/>
      <c r="C57" s="22"/>
      <c r="D57" s="23"/>
      <c r="E57" s="33"/>
    </row>
    <row r="58" spans="1:5" x14ac:dyDescent="0.25">
      <c r="A58" s="33"/>
      <c r="B58" s="33"/>
      <c r="C58" s="22"/>
      <c r="D58" s="23"/>
      <c r="E58" s="33"/>
    </row>
    <row r="59" spans="1:5" x14ac:dyDescent="0.25">
      <c r="A59" s="33"/>
      <c r="B59" s="33"/>
      <c r="C59" s="22"/>
      <c r="D59" s="23"/>
      <c r="E59" s="33"/>
    </row>
    <row r="60" spans="1:5" x14ac:dyDescent="0.25">
      <c r="A60" s="33"/>
      <c r="B60" s="33"/>
      <c r="C60" s="22"/>
      <c r="D60" s="23"/>
      <c r="E60" s="33"/>
    </row>
    <row r="61" spans="1:5" x14ac:dyDescent="0.25">
      <c r="A61" s="33"/>
      <c r="B61" s="33"/>
      <c r="C61" s="22"/>
      <c r="D61" s="23"/>
      <c r="E61" s="33"/>
    </row>
    <row r="62" spans="1:5" x14ac:dyDescent="0.25">
      <c r="A62" s="33"/>
      <c r="B62" s="33"/>
      <c r="C62" s="24"/>
      <c r="D62" s="22"/>
      <c r="E62" s="33"/>
    </row>
    <row r="63" spans="1:5" x14ac:dyDescent="0.25">
      <c r="A63" s="33"/>
      <c r="B63" s="33"/>
      <c r="C63" s="22"/>
      <c r="D63" s="22"/>
      <c r="E63" s="33"/>
    </row>
    <row r="64" spans="1:5" x14ac:dyDescent="0.25">
      <c r="A64" s="33"/>
      <c r="B64" s="33"/>
      <c r="C64" s="22"/>
      <c r="D64" s="22"/>
      <c r="E64" s="33"/>
    </row>
  </sheetData>
  <mergeCells count="26">
    <mergeCell ref="A1:E1"/>
    <mergeCell ref="A15:A20"/>
    <mergeCell ref="B15:B20"/>
    <mergeCell ref="E15:E20"/>
    <mergeCell ref="B21:B29"/>
    <mergeCell ref="A21:A29"/>
    <mergeCell ref="E21:E29"/>
    <mergeCell ref="B3:B8"/>
    <mergeCell ref="A3:A8"/>
    <mergeCell ref="A9:A14"/>
    <mergeCell ref="B9:B14"/>
    <mergeCell ref="E3:E8"/>
    <mergeCell ref="E9:E14"/>
    <mergeCell ref="A31:E31"/>
    <mergeCell ref="A33:A43"/>
    <mergeCell ref="B33:B43"/>
    <mergeCell ref="E33:E43"/>
    <mergeCell ref="A44:A49"/>
    <mergeCell ref="B44:B49"/>
    <mergeCell ref="E44:E49"/>
    <mergeCell ref="A50:A55"/>
    <mergeCell ref="B50:B55"/>
    <mergeCell ref="E50:E55"/>
    <mergeCell ref="A56:A64"/>
    <mergeCell ref="B56:B64"/>
    <mergeCell ref="E56:E64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BB18-B96A-48E6-9501-B081CA811FE1}">
  <dimension ref="A1:E78"/>
  <sheetViews>
    <sheetView tabSelected="1" topLeftCell="A54" workbookViewId="0">
      <selection activeCell="I68" sqref="I68"/>
    </sheetView>
  </sheetViews>
  <sheetFormatPr defaultRowHeight="15" x14ac:dyDescent="0.25"/>
  <cols>
    <col min="2" max="2" width="47.5703125" customWidth="1"/>
    <col min="3" max="3" width="19.5703125" style="29" customWidth="1"/>
    <col min="4" max="4" width="14" customWidth="1"/>
    <col min="5" max="5" width="17.28515625" customWidth="1"/>
  </cols>
  <sheetData>
    <row r="1" spans="1:5" ht="15.75" thickBot="1" x14ac:dyDescent="0.3">
      <c r="A1" s="35" t="s">
        <v>18</v>
      </c>
      <c r="B1" s="36"/>
      <c r="C1" s="36"/>
      <c r="D1" s="36"/>
      <c r="E1" s="61"/>
    </row>
    <row r="2" spans="1:5" ht="15.75" thickBot="1" x14ac:dyDescent="0.3">
      <c r="A2" s="10" t="s">
        <v>0</v>
      </c>
      <c r="B2" s="11" t="s">
        <v>1</v>
      </c>
      <c r="C2" s="11" t="s">
        <v>3</v>
      </c>
      <c r="D2" s="11" t="s">
        <v>2</v>
      </c>
      <c r="E2" s="12" t="s">
        <v>10</v>
      </c>
    </row>
    <row r="3" spans="1:5" x14ac:dyDescent="0.25">
      <c r="A3" s="37">
        <v>25</v>
      </c>
      <c r="B3" s="40" t="s">
        <v>26</v>
      </c>
      <c r="C3" s="25" t="s">
        <v>19</v>
      </c>
      <c r="D3" s="14">
        <v>1</v>
      </c>
      <c r="E3" s="43">
        <f>D3+D4+D5+D6+D10+D13+D7+D8+D9+D11+D12</f>
        <v>11</v>
      </c>
    </row>
    <row r="4" spans="1:5" x14ac:dyDescent="0.25">
      <c r="A4" s="38"/>
      <c r="B4" s="41"/>
      <c r="C4" s="26" t="s">
        <v>15</v>
      </c>
      <c r="D4" s="15">
        <v>1</v>
      </c>
      <c r="E4" s="44"/>
    </row>
    <row r="5" spans="1:5" x14ac:dyDescent="0.25">
      <c r="A5" s="38"/>
      <c r="B5" s="41"/>
      <c r="C5" s="26" t="s">
        <v>20</v>
      </c>
      <c r="D5" s="15">
        <v>1</v>
      </c>
      <c r="E5" s="44"/>
    </row>
    <row r="6" spans="1:5" x14ac:dyDescent="0.25">
      <c r="A6" s="38"/>
      <c r="B6" s="41"/>
      <c r="C6" s="26" t="s">
        <v>21</v>
      </c>
      <c r="D6" s="15">
        <v>1</v>
      </c>
      <c r="E6" s="44"/>
    </row>
    <row r="7" spans="1:5" x14ac:dyDescent="0.25">
      <c r="A7" s="38"/>
      <c r="B7" s="41"/>
      <c r="C7" s="26" t="s">
        <v>14</v>
      </c>
      <c r="D7" s="15">
        <v>1</v>
      </c>
      <c r="E7" s="44"/>
    </row>
    <row r="8" spans="1:5" x14ac:dyDescent="0.25">
      <c r="A8" s="38"/>
      <c r="B8" s="41"/>
      <c r="C8" s="26" t="s">
        <v>22</v>
      </c>
      <c r="D8" s="15">
        <v>1</v>
      </c>
      <c r="E8" s="44"/>
    </row>
    <row r="9" spans="1:5" x14ac:dyDescent="0.25">
      <c r="A9" s="38"/>
      <c r="B9" s="41"/>
      <c r="C9" s="26" t="s">
        <v>23</v>
      </c>
      <c r="D9" s="15">
        <v>1</v>
      </c>
      <c r="E9" s="44"/>
    </row>
    <row r="10" spans="1:5" x14ac:dyDescent="0.25">
      <c r="A10" s="38"/>
      <c r="B10" s="41"/>
      <c r="C10" s="26" t="s">
        <v>6</v>
      </c>
      <c r="D10" s="15">
        <v>1</v>
      </c>
      <c r="E10" s="44"/>
    </row>
    <row r="11" spans="1:5" x14ac:dyDescent="0.25">
      <c r="A11" s="39"/>
      <c r="B11" s="42"/>
      <c r="C11" s="27" t="s">
        <v>8</v>
      </c>
      <c r="D11" s="18">
        <v>1</v>
      </c>
      <c r="E11" s="44"/>
    </row>
    <row r="12" spans="1:5" x14ac:dyDescent="0.25">
      <c r="A12" s="39"/>
      <c r="B12" s="42"/>
      <c r="C12" s="27" t="s">
        <v>25</v>
      </c>
      <c r="D12" s="18">
        <v>1</v>
      </c>
      <c r="E12" s="44"/>
    </row>
    <row r="13" spans="1:5" ht="15.75" thickBot="1" x14ac:dyDescent="0.3">
      <c r="A13" s="53"/>
      <c r="B13" s="52"/>
      <c r="C13" s="28" t="s">
        <v>24</v>
      </c>
      <c r="D13" s="16">
        <v>1</v>
      </c>
      <c r="E13" s="51"/>
    </row>
    <row r="14" spans="1:5" x14ac:dyDescent="0.25">
      <c r="A14" s="37">
        <v>26</v>
      </c>
      <c r="B14" s="40" t="s">
        <v>27</v>
      </c>
      <c r="C14" s="25" t="s">
        <v>7</v>
      </c>
      <c r="D14" s="14">
        <v>1</v>
      </c>
      <c r="E14" s="43">
        <f>D14+D15+D16+D17+D18+D24+D19+D20+D21+D22+D23</f>
        <v>11</v>
      </c>
    </row>
    <row r="15" spans="1:5" x14ac:dyDescent="0.25">
      <c r="A15" s="38"/>
      <c r="B15" s="41"/>
      <c r="C15" s="26" t="s">
        <v>15</v>
      </c>
      <c r="D15" s="15">
        <v>1</v>
      </c>
      <c r="E15" s="44"/>
    </row>
    <row r="16" spans="1:5" x14ac:dyDescent="0.25">
      <c r="A16" s="38"/>
      <c r="B16" s="41"/>
      <c r="C16" s="26" t="s">
        <v>20</v>
      </c>
      <c r="D16" s="15">
        <v>1</v>
      </c>
      <c r="E16" s="44"/>
    </row>
    <row r="17" spans="1:5" x14ac:dyDescent="0.25">
      <c r="A17" s="38"/>
      <c r="B17" s="41"/>
      <c r="C17" s="26" t="s">
        <v>21</v>
      </c>
      <c r="D17" s="15">
        <v>1</v>
      </c>
      <c r="E17" s="44"/>
    </row>
    <row r="18" spans="1:5" x14ac:dyDescent="0.25">
      <c r="A18" s="38"/>
      <c r="B18" s="41"/>
      <c r="C18" s="26" t="s">
        <v>14</v>
      </c>
      <c r="D18" s="15">
        <v>1</v>
      </c>
      <c r="E18" s="44"/>
    </row>
    <row r="19" spans="1:5" x14ac:dyDescent="0.25">
      <c r="A19" s="39"/>
      <c r="B19" s="42"/>
      <c r="C19" s="27" t="s">
        <v>22</v>
      </c>
      <c r="D19" s="18">
        <v>1</v>
      </c>
      <c r="E19" s="44"/>
    </row>
    <row r="20" spans="1:5" x14ac:dyDescent="0.25">
      <c r="A20" s="39"/>
      <c r="B20" s="42"/>
      <c r="C20" s="27" t="s">
        <v>23</v>
      </c>
      <c r="D20" s="18">
        <v>1</v>
      </c>
      <c r="E20" s="44"/>
    </row>
    <row r="21" spans="1:5" x14ac:dyDescent="0.25">
      <c r="A21" s="39"/>
      <c r="B21" s="42"/>
      <c r="C21" s="27" t="s">
        <v>6</v>
      </c>
      <c r="D21" s="18">
        <v>1</v>
      </c>
      <c r="E21" s="44"/>
    </row>
    <row r="22" spans="1:5" x14ac:dyDescent="0.25">
      <c r="A22" s="39"/>
      <c r="B22" s="42"/>
      <c r="C22" s="27" t="s">
        <v>24</v>
      </c>
      <c r="D22" s="18">
        <v>1</v>
      </c>
      <c r="E22" s="44"/>
    </row>
    <row r="23" spans="1:5" x14ac:dyDescent="0.25">
      <c r="A23" s="39"/>
      <c r="B23" s="42"/>
      <c r="C23" s="27" t="s">
        <v>25</v>
      </c>
      <c r="D23" s="18">
        <v>1</v>
      </c>
      <c r="E23" s="44"/>
    </row>
    <row r="24" spans="1:5" ht="15.75" thickBot="1" x14ac:dyDescent="0.3">
      <c r="A24" s="53"/>
      <c r="B24" s="52"/>
      <c r="C24" s="28" t="s">
        <v>8</v>
      </c>
      <c r="D24" s="16">
        <v>1</v>
      </c>
      <c r="E24" s="51"/>
    </row>
    <row r="25" spans="1:5" x14ac:dyDescent="0.25">
      <c r="A25" s="37">
        <v>27</v>
      </c>
      <c r="B25" s="54" t="s">
        <v>28</v>
      </c>
      <c r="C25" s="25" t="s">
        <v>29</v>
      </c>
      <c r="D25" s="14">
        <v>3</v>
      </c>
      <c r="E25" s="43">
        <f>D25+D26+D27+D28+D29+D35+D30+D31+D32+D33+D34</f>
        <v>33</v>
      </c>
    </row>
    <row r="26" spans="1:5" x14ac:dyDescent="0.25">
      <c r="A26" s="38"/>
      <c r="B26" s="55"/>
      <c r="C26" s="26" t="s">
        <v>15</v>
      </c>
      <c r="D26" s="15">
        <v>3</v>
      </c>
      <c r="E26" s="44"/>
    </row>
    <row r="27" spans="1:5" x14ac:dyDescent="0.25">
      <c r="A27" s="38"/>
      <c r="B27" s="55"/>
      <c r="C27" s="26" t="s">
        <v>21</v>
      </c>
      <c r="D27" s="15">
        <v>3</v>
      </c>
      <c r="E27" s="44"/>
    </row>
    <row r="28" spans="1:5" x14ac:dyDescent="0.25">
      <c r="A28" s="38"/>
      <c r="B28" s="55"/>
      <c r="C28" s="26" t="s">
        <v>14</v>
      </c>
      <c r="D28" s="15">
        <v>3</v>
      </c>
      <c r="E28" s="44"/>
    </row>
    <row r="29" spans="1:5" x14ac:dyDescent="0.25">
      <c r="A29" s="38"/>
      <c r="B29" s="55"/>
      <c r="C29" s="26" t="s">
        <v>30</v>
      </c>
      <c r="D29" s="15">
        <v>3</v>
      </c>
      <c r="E29" s="44"/>
    </row>
    <row r="30" spans="1:5" x14ac:dyDescent="0.25">
      <c r="A30" s="39"/>
      <c r="B30" s="56"/>
      <c r="C30" s="27" t="s">
        <v>31</v>
      </c>
      <c r="D30" s="18">
        <v>3</v>
      </c>
      <c r="E30" s="44"/>
    </row>
    <row r="31" spans="1:5" x14ac:dyDescent="0.25">
      <c r="A31" s="39"/>
      <c r="B31" s="56"/>
      <c r="C31" s="27" t="s">
        <v>23</v>
      </c>
      <c r="D31" s="18">
        <v>3</v>
      </c>
      <c r="E31" s="44"/>
    </row>
    <row r="32" spans="1:5" x14ac:dyDescent="0.25">
      <c r="A32" s="39"/>
      <c r="B32" s="56"/>
      <c r="C32" s="27" t="s">
        <v>32</v>
      </c>
      <c r="D32" s="18">
        <v>3</v>
      </c>
      <c r="E32" s="44"/>
    </row>
    <row r="33" spans="1:5" x14ac:dyDescent="0.25">
      <c r="A33" s="39"/>
      <c r="B33" s="56"/>
      <c r="C33" s="27" t="s">
        <v>33</v>
      </c>
      <c r="D33" s="18">
        <v>3</v>
      </c>
      <c r="E33" s="44"/>
    </row>
    <row r="34" spans="1:5" x14ac:dyDescent="0.25">
      <c r="A34" s="39"/>
      <c r="B34" s="56"/>
      <c r="C34" s="27" t="s">
        <v>8</v>
      </c>
      <c r="D34" s="18">
        <v>3</v>
      </c>
      <c r="E34" s="44"/>
    </row>
    <row r="35" spans="1:5" ht="15.75" thickBot="1" x14ac:dyDescent="0.3">
      <c r="A35" s="39"/>
      <c r="B35" s="56"/>
      <c r="C35" s="27" t="s">
        <v>34</v>
      </c>
      <c r="D35" s="18">
        <v>3</v>
      </c>
      <c r="E35" s="44"/>
    </row>
    <row r="36" spans="1:5" x14ac:dyDescent="0.25">
      <c r="A36" s="48">
        <v>37</v>
      </c>
      <c r="B36" s="58" t="s">
        <v>37</v>
      </c>
      <c r="C36" s="25" t="s">
        <v>35</v>
      </c>
      <c r="D36" s="14">
        <v>1</v>
      </c>
      <c r="E36" s="43">
        <f>D36+D37</f>
        <v>2</v>
      </c>
    </row>
    <row r="37" spans="1:5" ht="15.75" thickBot="1" x14ac:dyDescent="0.3">
      <c r="A37" s="57"/>
      <c r="B37" s="59"/>
      <c r="C37" s="26" t="s">
        <v>36</v>
      </c>
      <c r="D37" s="15">
        <v>1</v>
      </c>
      <c r="E37" s="60"/>
    </row>
    <row r="38" spans="1:5" x14ac:dyDescent="0.25">
      <c r="A38" s="37">
        <v>38</v>
      </c>
      <c r="B38" s="54" t="s">
        <v>38</v>
      </c>
      <c r="C38" s="25" t="s">
        <v>15</v>
      </c>
      <c r="D38" s="14">
        <v>1</v>
      </c>
      <c r="E38" s="43">
        <f>D38+D39+D40+D41+D42+D43+D44+D45</f>
        <v>8</v>
      </c>
    </row>
    <row r="39" spans="1:5" x14ac:dyDescent="0.25">
      <c r="A39" s="38"/>
      <c r="B39" s="55"/>
      <c r="C39" s="26" t="s">
        <v>39</v>
      </c>
      <c r="D39" s="15">
        <v>1</v>
      </c>
      <c r="E39" s="44"/>
    </row>
    <row r="40" spans="1:5" x14ac:dyDescent="0.25">
      <c r="A40" s="38"/>
      <c r="B40" s="55"/>
      <c r="C40" s="26" t="s">
        <v>40</v>
      </c>
      <c r="D40" s="15">
        <v>1</v>
      </c>
      <c r="E40" s="44"/>
    </row>
    <row r="41" spans="1:5" x14ac:dyDescent="0.25">
      <c r="A41" s="38"/>
      <c r="B41" s="55"/>
      <c r="C41" s="26" t="s">
        <v>7</v>
      </c>
      <c r="D41" s="15">
        <v>1</v>
      </c>
      <c r="E41" s="44"/>
    </row>
    <row r="42" spans="1:5" x14ac:dyDescent="0.25">
      <c r="A42" s="38"/>
      <c r="B42" s="55"/>
      <c r="C42" s="26" t="s">
        <v>8</v>
      </c>
      <c r="D42" s="15">
        <v>1</v>
      </c>
      <c r="E42" s="44"/>
    </row>
    <row r="43" spans="1:5" x14ac:dyDescent="0.25">
      <c r="A43" s="38"/>
      <c r="B43" s="55"/>
      <c r="C43" s="26" t="s">
        <v>13</v>
      </c>
      <c r="D43" s="15">
        <v>1</v>
      </c>
      <c r="E43" s="44"/>
    </row>
    <row r="44" spans="1:5" x14ac:dyDescent="0.25">
      <c r="A44" s="38"/>
      <c r="B44" s="55"/>
      <c r="C44" s="26" t="s">
        <v>6</v>
      </c>
      <c r="D44" s="15">
        <v>1</v>
      </c>
      <c r="E44" s="44"/>
    </row>
    <row r="45" spans="1:5" ht="15.75" thickBot="1" x14ac:dyDescent="0.3">
      <c r="A45" s="38"/>
      <c r="B45" s="55"/>
      <c r="C45" s="26" t="s">
        <v>41</v>
      </c>
      <c r="D45" s="15">
        <v>1</v>
      </c>
      <c r="E45" s="44"/>
    </row>
    <row r="46" spans="1:5" x14ac:dyDescent="0.25">
      <c r="A46" s="37">
        <v>40</v>
      </c>
      <c r="B46" s="54" t="s">
        <v>52</v>
      </c>
      <c r="C46" s="25" t="s">
        <v>36</v>
      </c>
      <c r="D46" s="14">
        <v>1</v>
      </c>
      <c r="E46" s="43">
        <f>D46+D47</f>
        <v>2</v>
      </c>
    </row>
    <row r="47" spans="1:5" ht="15.75" thickBot="1" x14ac:dyDescent="0.3">
      <c r="A47" s="38"/>
      <c r="B47" s="55"/>
      <c r="C47" s="26" t="s">
        <v>35</v>
      </c>
      <c r="D47" s="15">
        <v>1</v>
      </c>
      <c r="E47" s="44"/>
    </row>
    <row r="48" spans="1:5" x14ac:dyDescent="0.25">
      <c r="A48" s="37">
        <v>41</v>
      </c>
      <c r="B48" s="54" t="s">
        <v>45</v>
      </c>
      <c r="C48" s="25" t="s">
        <v>13</v>
      </c>
      <c r="D48" s="14">
        <v>4</v>
      </c>
      <c r="E48" s="43">
        <f>D48+D49+D50+D51+D52+D53+D54+D55+D56+D57</f>
        <v>40</v>
      </c>
    </row>
    <row r="49" spans="1:5" x14ac:dyDescent="0.25">
      <c r="A49" s="38"/>
      <c r="B49" s="55"/>
      <c r="C49" s="26" t="s">
        <v>42</v>
      </c>
      <c r="D49" s="15">
        <v>4</v>
      </c>
      <c r="E49" s="44"/>
    </row>
    <row r="50" spans="1:5" x14ac:dyDescent="0.25">
      <c r="A50" s="38"/>
      <c r="B50" s="55"/>
      <c r="C50" s="26" t="s">
        <v>43</v>
      </c>
      <c r="D50" s="15">
        <v>4</v>
      </c>
      <c r="E50" s="44"/>
    </row>
    <row r="51" spans="1:5" x14ac:dyDescent="0.25">
      <c r="A51" s="38"/>
      <c r="B51" s="55"/>
      <c r="C51" s="26" t="s">
        <v>14</v>
      </c>
      <c r="D51" s="15">
        <v>4</v>
      </c>
      <c r="E51" s="44"/>
    </row>
    <row r="52" spans="1:5" x14ac:dyDescent="0.25">
      <c r="A52" s="38"/>
      <c r="B52" s="55"/>
      <c r="C52" s="26" t="s">
        <v>40</v>
      </c>
      <c r="D52" s="15">
        <v>4</v>
      </c>
      <c r="E52" s="44"/>
    </row>
    <row r="53" spans="1:5" x14ac:dyDescent="0.25">
      <c r="A53" s="39"/>
      <c r="B53" s="56"/>
      <c r="C53" s="27" t="s">
        <v>44</v>
      </c>
      <c r="D53" s="18">
        <v>4</v>
      </c>
      <c r="E53" s="44"/>
    </row>
    <row r="54" spans="1:5" x14ac:dyDescent="0.25">
      <c r="A54" s="39"/>
      <c r="B54" s="56"/>
      <c r="C54" s="27" t="s">
        <v>8</v>
      </c>
      <c r="D54" s="18">
        <v>4</v>
      </c>
      <c r="E54" s="44"/>
    </row>
    <row r="55" spans="1:5" x14ac:dyDescent="0.25">
      <c r="A55" s="39"/>
      <c r="B55" s="56"/>
      <c r="C55" s="27" t="s">
        <v>30</v>
      </c>
      <c r="D55" s="18">
        <v>4</v>
      </c>
      <c r="E55" s="44"/>
    </row>
    <row r="56" spans="1:5" x14ac:dyDescent="0.25">
      <c r="A56" s="39"/>
      <c r="B56" s="56"/>
      <c r="C56" s="27" t="s">
        <v>22</v>
      </c>
      <c r="D56" s="18">
        <v>4</v>
      </c>
      <c r="E56" s="44"/>
    </row>
    <row r="57" spans="1:5" ht="15.75" thickBot="1" x14ac:dyDescent="0.3">
      <c r="A57" s="39"/>
      <c r="B57" s="56"/>
      <c r="C57" s="27" t="s">
        <v>40</v>
      </c>
      <c r="D57" s="18">
        <v>4</v>
      </c>
      <c r="E57" s="44"/>
    </row>
    <row r="58" spans="1:5" ht="15.75" thickBot="1" x14ac:dyDescent="0.3">
      <c r="A58" s="19">
        <v>80</v>
      </c>
      <c r="B58" s="32" t="s">
        <v>47</v>
      </c>
      <c r="C58" s="25" t="s">
        <v>46</v>
      </c>
      <c r="D58" s="14">
        <v>2</v>
      </c>
      <c r="E58" s="17">
        <v>2</v>
      </c>
    </row>
    <row r="59" spans="1:5" x14ac:dyDescent="0.25">
      <c r="A59" s="63">
        <v>81</v>
      </c>
      <c r="B59" s="66" t="s">
        <v>59</v>
      </c>
      <c r="C59" s="25"/>
      <c r="D59" s="14">
        <v>0</v>
      </c>
      <c r="E59" s="43">
        <f>D59+D60+D61+CD7058+D63+D64+D65+D66+D67+D68+D69+D70+D71+G67+D72+D62</f>
        <v>7</v>
      </c>
    </row>
    <row r="60" spans="1:5" x14ac:dyDescent="0.25">
      <c r="A60" s="64"/>
      <c r="B60" s="67"/>
      <c r="C60" s="26" t="s">
        <v>48</v>
      </c>
      <c r="D60" s="15">
        <v>1</v>
      </c>
      <c r="E60" s="44"/>
    </row>
    <row r="61" spans="1:5" x14ac:dyDescent="0.25">
      <c r="A61" s="64"/>
      <c r="B61" s="67"/>
      <c r="C61" s="26" t="s">
        <v>49</v>
      </c>
      <c r="D61" s="15">
        <v>1</v>
      </c>
      <c r="E61" s="44"/>
    </row>
    <row r="62" spans="1:5" x14ac:dyDescent="0.25">
      <c r="A62" s="64"/>
      <c r="B62" s="67"/>
      <c r="C62" s="26" t="s">
        <v>14</v>
      </c>
      <c r="D62" s="15">
        <v>1</v>
      </c>
      <c r="E62" s="44"/>
    </row>
    <row r="63" spans="1:5" x14ac:dyDescent="0.25">
      <c r="A63" s="64"/>
      <c r="B63" s="67"/>
      <c r="C63" s="26"/>
      <c r="D63" s="15">
        <v>0</v>
      </c>
      <c r="E63" s="44"/>
    </row>
    <row r="64" spans="1:5" x14ac:dyDescent="0.25">
      <c r="A64" s="64"/>
      <c r="B64" s="67"/>
      <c r="C64" s="27"/>
      <c r="D64" s="18">
        <v>0</v>
      </c>
      <c r="E64" s="44"/>
    </row>
    <row r="65" spans="1:5" x14ac:dyDescent="0.25">
      <c r="A65" s="64"/>
      <c r="B65" s="67"/>
      <c r="C65" s="27" t="s">
        <v>8</v>
      </c>
      <c r="D65" s="18">
        <v>1</v>
      </c>
      <c r="E65" s="44"/>
    </row>
    <row r="66" spans="1:5" x14ac:dyDescent="0.25">
      <c r="A66" s="64"/>
      <c r="B66" s="67"/>
      <c r="C66" s="27" t="s">
        <v>30</v>
      </c>
      <c r="D66" s="18">
        <v>1</v>
      </c>
      <c r="E66" s="44"/>
    </row>
    <row r="67" spans="1:5" x14ac:dyDescent="0.25">
      <c r="A67" s="64"/>
      <c r="B67" s="67"/>
      <c r="C67" s="27"/>
      <c r="D67" s="18">
        <v>0</v>
      </c>
      <c r="E67" s="44"/>
    </row>
    <row r="68" spans="1:5" x14ac:dyDescent="0.25">
      <c r="A68" s="64"/>
      <c r="B68" s="67"/>
      <c r="C68" s="27" t="s">
        <v>50</v>
      </c>
      <c r="D68" s="18">
        <v>1</v>
      </c>
      <c r="E68" s="44"/>
    </row>
    <row r="69" spans="1:5" x14ac:dyDescent="0.25">
      <c r="A69" s="64"/>
      <c r="B69" s="67"/>
      <c r="C69" s="26"/>
      <c r="D69" s="30">
        <v>0</v>
      </c>
      <c r="E69" s="44"/>
    </row>
    <row r="70" spans="1:5" x14ac:dyDescent="0.25">
      <c r="A70" s="64"/>
      <c r="B70" s="67"/>
      <c r="C70" s="26" t="s">
        <v>51</v>
      </c>
      <c r="D70" s="30">
        <v>1</v>
      </c>
      <c r="E70" s="44"/>
    </row>
    <row r="71" spans="1:5" x14ac:dyDescent="0.25">
      <c r="A71" s="64"/>
      <c r="B71" s="67"/>
      <c r="C71" s="26"/>
      <c r="D71" s="30">
        <v>0</v>
      </c>
      <c r="E71" s="44"/>
    </row>
    <row r="72" spans="1:5" ht="15.75" thickBot="1" x14ac:dyDescent="0.3">
      <c r="A72" s="65"/>
      <c r="B72" s="68"/>
      <c r="C72" s="28"/>
      <c r="D72" s="31">
        <v>0</v>
      </c>
      <c r="E72" s="51"/>
    </row>
    <row r="73" spans="1:5" x14ac:dyDescent="0.25">
      <c r="A73" s="37">
        <v>78</v>
      </c>
      <c r="B73" s="54" t="s">
        <v>53</v>
      </c>
      <c r="C73" s="25" t="s">
        <v>54</v>
      </c>
      <c r="D73" s="14">
        <v>2</v>
      </c>
      <c r="E73" s="43">
        <f>D73+D74+D75+D76+D77+D78</f>
        <v>20</v>
      </c>
    </row>
    <row r="74" spans="1:5" x14ac:dyDescent="0.25">
      <c r="A74" s="38"/>
      <c r="B74" s="55"/>
      <c r="C74" s="26" t="s">
        <v>55</v>
      </c>
      <c r="D74" s="15">
        <v>2</v>
      </c>
      <c r="E74" s="44"/>
    </row>
    <row r="75" spans="1:5" x14ac:dyDescent="0.25">
      <c r="A75" s="38"/>
      <c r="B75" s="55"/>
      <c r="C75" s="26" t="s">
        <v>56</v>
      </c>
      <c r="D75" s="15">
        <v>6</v>
      </c>
      <c r="E75" s="44"/>
    </row>
    <row r="76" spans="1:5" x14ac:dyDescent="0.25">
      <c r="A76" s="38"/>
      <c r="B76" s="55"/>
      <c r="C76" s="26" t="s">
        <v>23</v>
      </c>
      <c r="D76" s="15">
        <v>6</v>
      </c>
      <c r="E76" s="44"/>
    </row>
    <row r="77" spans="1:5" x14ac:dyDescent="0.25">
      <c r="A77" s="38"/>
      <c r="B77" s="55"/>
      <c r="C77" s="26" t="s">
        <v>57</v>
      </c>
      <c r="D77" s="15">
        <v>2</v>
      </c>
      <c r="E77" s="44"/>
    </row>
    <row r="78" spans="1:5" ht="15.75" thickBot="1" x14ac:dyDescent="0.3">
      <c r="A78" s="53"/>
      <c r="B78" s="62"/>
      <c r="C78" s="28" t="s">
        <v>58</v>
      </c>
      <c r="D78" s="16">
        <v>2</v>
      </c>
      <c r="E78" s="51"/>
    </row>
  </sheetData>
  <mergeCells count="28">
    <mergeCell ref="A73:A78"/>
    <mergeCell ref="B73:B78"/>
    <mergeCell ref="E73:E78"/>
    <mergeCell ref="A59:A72"/>
    <mergeCell ref="B59:B72"/>
    <mergeCell ref="E59:E72"/>
    <mergeCell ref="A1:E1"/>
    <mergeCell ref="A3:A13"/>
    <mergeCell ref="B3:B13"/>
    <mergeCell ref="E3:E13"/>
    <mergeCell ref="A14:A24"/>
    <mergeCell ref="B14:B24"/>
    <mergeCell ref="E14:E24"/>
    <mergeCell ref="A25:A35"/>
    <mergeCell ref="B25:B35"/>
    <mergeCell ref="E25:E35"/>
    <mergeCell ref="A36:A37"/>
    <mergeCell ref="B36:B37"/>
    <mergeCell ref="E36:E37"/>
    <mergeCell ref="A48:A57"/>
    <mergeCell ref="B48:B57"/>
    <mergeCell ref="E48:E57"/>
    <mergeCell ref="A38:A45"/>
    <mergeCell ref="B38:B45"/>
    <mergeCell ref="E38:E45"/>
    <mergeCell ref="A46:A47"/>
    <mergeCell ref="B46:B47"/>
    <mergeCell ref="E46:E4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AM&amp;C </vt:lpstr>
      <vt:lpstr>PAPEL CARTAZ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freitas pineis</dc:creator>
  <cp:lastModifiedBy>nutrielainelopes22@gmail.com</cp:lastModifiedBy>
  <dcterms:created xsi:type="dcterms:W3CDTF">2025-07-15T18:07:29Z</dcterms:created>
  <dcterms:modified xsi:type="dcterms:W3CDTF">2025-08-14T13:57:20Z</dcterms:modified>
</cp:coreProperties>
</file>