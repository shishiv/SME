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mgedu-my.sharepoint.com/personal/myke_1093515_discente_uemg_br/Documents/Desktop/COMPRAS/"/>
    </mc:Choice>
  </mc:AlternateContent>
  <xr:revisionPtr revIDLastSave="32" documentId="13_ncr:1_{C3348728-A593-4C21-ACB7-F39F34B0B07A}" xr6:coauthVersionLast="47" xr6:coauthVersionMax="47" xr10:uidLastSave="{4409AF60-0744-43B8-8E9A-6453FDD27C52}"/>
  <bookViews>
    <workbookView xWindow="0" yWindow="705" windowWidth="20490" windowHeight="10815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G10" i="1"/>
  <c r="C10" i="1"/>
  <c r="K4" i="1"/>
  <c r="G4" i="1"/>
  <c r="C4" i="1"/>
</calcChain>
</file>

<file path=xl/sharedStrings.xml><?xml version="1.0" encoding="utf-8"?>
<sst xmlns="http://schemas.openxmlformats.org/spreadsheetml/2006/main" count="49" uniqueCount="30">
  <si>
    <t>CALCULADORA DE DESCONTOS</t>
  </si>
  <si>
    <t>VALOR DA NOTA</t>
  </si>
  <si>
    <t>VALOR DO IMPOSTO</t>
  </si>
  <si>
    <t>VALOR DESCONTADO</t>
  </si>
  <si>
    <r>
      <t xml:space="preserve">ALIMENTAÇÃO; ENERGIA ELÉTRICA; SERVIÇOS PRESTADOS COM EMPREGO DE MATERIAIS; CONSTRUÇÃO CIVIL POR EMPREITADA COM EMPREGO DE MATERIAIS; SERVIÇOS HOSPITALARES; PRODUTOS FARMACÊUTICOS, PERFUMARIA E HIGIENE PESSOAL; MERCADORIAS E BENS EM GERAL.                     </t>
    </r>
    <r>
      <rPr>
        <b/>
        <sz val="12"/>
        <color rgb="FFFF0000"/>
        <rFont val="Calibri"/>
        <family val="2"/>
        <scheme val="minor"/>
      </rPr>
      <t>(1,20%)</t>
    </r>
  </si>
  <si>
    <r>
      <t xml:space="preserve">GASOLINA, COMBUSTÍVEIS DERIVADOS DE PETRÓLEO OU DE GÁS NATURAL, QUEROSENE DE AVIAÇÃO (QAV), E DEMIAS PRODUTOS DERIVADOS DO PETRÓLEO.                                   </t>
    </r>
    <r>
      <rPr>
        <b/>
        <sz val="12"/>
        <color rgb="FFFF0000"/>
        <rFont val="Calibri"/>
        <family val="2"/>
        <scheme val="minor"/>
      </rPr>
      <t>(0,24%)</t>
    </r>
  </si>
  <si>
    <r>
      <t xml:space="preserve">PASSAGENS AÉREAS NACIONAL E INTERNACIONAL, RODOVIÁRIAS E DEMAIS SERVIÇOS DE TRANSPORTE DE PASSAGEIROS, INCLUSIVE TARIFA DE EMBARQUE; SERVIÇOS PRESTADOS POR BANCÁRIOS; SEGURO SAÚDE.                                   </t>
    </r>
    <r>
      <rPr>
        <b/>
        <sz val="12"/>
        <color rgb="FFFF0000"/>
        <rFont val="Calibri"/>
        <family val="2"/>
        <scheme val="minor"/>
      </rPr>
      <t>(2,40%)</t>
    </r>
  </si>
  <si>
    <r>
      <rPr>
        <sz val="10"/>
        <color theme="1"/>
        <rFont val="Calibri"/>
        <family val="2"/>
        <scheme val="minor"/>
      </rPr>
      <t>SERVIÇOS DE ABASTECIMENTO DE ÁGUA; TELEFONE; CORREIO E TELÉGRAFOS; VIGILÂNCIA; SERVIÇOS DE LIMPEZAS; LOCAÇÃO DE MÃO DE OBRA; INTERMEDIAÇÃO DE NEGÓCIOS; ADMINISTRAÇÃO, LOCAÇÃO OU CESSÃO DE BENS IMÓVEIS, MÓVEIS E DIREITOS DE QUALQUER NATUREZA; FACTORING; PLANO DE SAÚDE HUMANO, VETERINÁRIO OU ODONTOLÓGICO COM VALORES FIXOS POR SERVIDOR, POR EMPREGADO O POR ANIMAL; DEMAIS SERVIÇOS.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>(4,80%)</t>
    </r>
  </si>
  <si>
    <t>VERA LUCIA DE MORAIS JAMBERA EPP</t>
  </si>
  <si>
    <t>COTRIBUINTE</t>
  </si>
  <si>
    <t>EMPRESA</t>
  </si>
  <si>
    <r>
      <t xml:space="preserve">INSS - CHAMADA PÚBLICA (AGRICULTURA FAMILIAR). </t>
    </r>
    <r>
      <rPr>
        <b/>
        <sz val="12"/>
        <color rgb="FFFF0000"/>
        <rFont val="Calibri"/>
        <family val="2"/>
        <scheme val="minor"/>
      </rPr>
      <t>(1,50%)</t>
    </r>
  </si>
  <si>
    <r>
      <t xml:space="preserve">ISSQN - IMPOSTO SOBRE SERVIÇOS DE QULAQUER NATUREZA . </t>
    </r>
    <r>
      <rPr>
        <b/>
        <sz val="12"/>
        <color rgb="FFFF0000"/>
        <rFont val="Calibri"/>
        <family val="2"/>
        <scheme val="minor"/>
      </rPr>
      <t>(2,00%)</t>
    </r>
  </si>
  <si>
    <t>DAMIANA GOMES DE SOUZA</t>
  </si>
  <si>
    <t>EURIPEDES LAZARA DA SILVA</t>
  </si>
  <si>
    <t>FRANCISCO MAILSON FERREIRA DE ALMEIDA</t>
  </si>
  <si>
    <t>LUCIO CLAUDIANO GOMES</t>
  </si>
  <si>
    <t>LUIZ LAZARO EUGENIO DA SILVA</t>
  </si>
  <si>
    <t>OSMÁRIO PEREIRA DA SILVA</t>
  </si>
  <si>
    <t>PEDRO HENRIQUE PINTO DE BARROS</t>
  </si>
  <si>
    <t>NOME</t>
  </si>
  <si>
    <t>CHAMADA PÚBLICA</t>
  </si>
  <si>
    <r>
      <rPr>
        <b/>
        <sz val="11"/>
        <color rgb="FFFF0000"/>
        <rFont val="Calibri"/>
        <family val="2"/>
        <scheme val="minor"/>
      </rPr>
      <t>DESCONTO EXTRA ORÇAMENTÁRIO</t>
    </r>
    <r>
      <rPr>
        <sz val="11"/>
        <color theme="1"/>
        <rFont val="Calibri"/>
        <family val="2"/>
        <scheme val="minor"/>
      </rPr>
      <t xml:space="preserve">
DESCONTAR SEMPRE 1,5% - INSS P. FISICA: 218810499020013 - FONTE: 1869 - CO:0000 - TRADUTOR: 2112 </t>
    </r>
  </si>
  <si>
    <t xml:space="preserve">REFERE-SE À AQUISIÇÃO DE GÊNEROS ALIMENTÍCIOS DA AGRICULTURA FAMILIAR E EMPREENDEDOR FAMILIAR RURAL PARA COMPOR A ALIMENTAÇÃO ESCOLAR OFERECIDA AOS ALUNOS MATRICULADOS NA REDE MUNICIPAL DE ENSINO INFANTIL PRÉ ESCOLAS – MAISA F. P. VASCONCELOS E TURMA DA MÔNICA, POR UM PERÍODO ESTIMADO DE 30 DIAS;
</t>
  </si>
  <si>
    <t>REFERE-SE À AQUISIÇÃO DE GÊNEROS ALIMENTÍCIOS DA AGRICULTURA FAMILIAR E EMPREENDEDOR FAMILIAR RURAL PARA COMPOR A ALIMENTAÇÃO ESCOLAR OFERECIDA AOS ALUNOS MATRICULADOS NA REDE MUNICIPAL DE ENSINO FUNDAMENTAL – MARECHAL CASTELO BRANCO, POLIANA ZIZA FERREIRA E JOSÉ MARIA BASTOS GARCIA, POR UM PERÍODO ESTIMADO DE 30 DIAS;</t>
  </si>
  <si>
    <t>CONTRUIBUINTE</t>
  </si>
  <si>
    <t>REFERE-SE À AQUISIÇÃO DE GÊNEROS ALIMENTÍCIOS DA AGRICULTURA FAMILIAR E EMPREENDEDOR FAMILIAR RURAL PARA COMPOR A ALIMENTAÇÃO ESCOLAR OFERECIDA AOS ALUNOS MATRICULADOS NA REDE MUNICIPAL DE ENSINO INFANTIL CRECHES – SANTO ANTONIO, DONA BELINHA, DONA MENÇORA E DONA ALICE, POR UM PERÍODO ESTIMADO DE 30 DIAS;</t>
  </si>
  <si>
    <t>FORNECEDOR</t>
  </si>
  <si>
    <t>REFERE-SE A RETENÇÃO DE IR, EMPENHO: ***, ANO 2025, FONTE: (DO EMP.)****.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</si>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</sst>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mbria"/>
      <family val="1"/>
    </font>
    <font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/>
    <xf numFmtId="0" fontId="0" fillId="0" borderId="21" xfId="0" applyBorder="1" applyAlignment="1">
      <alignment horizontal="center" vertical="center"/>
    </xf>
    <xf numFmtId="1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10" fontId="6" fillId="7" borderId="9" xfId="0" applyNumberFormat="1" applyFont="1" applyFill="1" applyBorder="1" applyAlignment="1">
      <alignment horizontal="center" vertical="center" wrapText="1"/>
    </xf>
    <xf numFmtId="10" fontId="6" fillId="7" borderId="5" xfId="0" applyNumberFormat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10" fontId="6" fillId="4" borderId="9" xfId="0" applyNumberFormat="1" applyFont="1" applyFill="1" applyBorder="1" applyAlignment="1">
      <alignment horizontal="center" vertical="center" wrapText="1"/>
    </xf>
    <xf numFmtId="10" fontId="6" fillId="4" borderId="5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0" fontId="6" fillId="2" borderId="9" xfId="0" applyNumberFormat="1" applyFont="1" applyFill="1" applyBorder="1" applyAlignment="1">
      <alignment horizontal="center" vertical="center" wrapText="1"/>
    </xf>
    <xf numFmtId="10" fontId="6" fillId="2" borderId="5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0" fontId="6" fillId="3" borderId="9" xfId="0" applyNumberFormat="1" applyFont="1" applyFill="1" applyBorder="1" applyAlignment="1">
      <alignment horizontal="center" vertical="center" wrapText="1"/>
    </xf>
    <xf numFmtId="10" fontId="6" fillId="3" borderId="5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10" fontId="6" fillId="5" borderId="9" xfId="0" applyNumberFormat="1" applyFont="1" applyFill="1" applyBorder="1" applyAlignment="1">
      <alignment horizontal="center" vertical="center" wrapText="1"/>
    </xf>
    <xf numFmtId="10" fontId="6" fillId="5" borderId="5" xfId="0" applyNumberFormat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10" fontId="6" fillId="6" borderId="9" xfId="0" applyNumberFormat="1" applyFont="1" applyFill="1" applyBorder="1" applyAlignment="1">
      <alignment horizontal="center" vertical="center" wrapText="1"/>
    </xf>
    <xf numFmtId="10" fontId="6" fillId="6" borderId="5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90" zoomScaleNormal="90" workbookViewId="0">
      <selection activeCell="B4" sqref="B4:B5"/>
    </sheetView>
  </sheetViews>
  <sheetFormatPr defaultColWidth="14.28515625" defaultRowHeight="15" x14ac:dyDescent="0.25"/>
  <cols>
    <col min="1" max="1" width="14.42578125" bestFit="1" customWidth="1"/>
    <col min="2" max="2" width="12.85546875" customWidth="1"/>
    <col min="4" max="4" width="3.5703125" customWidth="1"/>
    <col min="6" max="6" width="12.85546875" customWidth="1"/>
    <col min="8" max="8" width="3.5703125" customWidth="1"/>
    <col min="9" max="9" width="14.28515625" customWidth="1"/>
    <col min="12" max="12" width="3.5703125" customWidth="1"/>
    <col min="14" max="14" width="46.140625" customWidth="1"/>
    <col min="16" max="16" width="3.5703125" customWidth="1"/>
  </cols>
  <sheetData>
    <row r="1" spans="1:14" ht="20.25" customHeight="1" thickBot="1" x14ac:dyDescent="0.3">
      <c r="A1" s="92" t="s">
        <v>0</v>
      </c>
      <c r="B1" s="93"/>
      <c r="C1" s="94"/>
      <c r="E1" s="82" t="s">
        <v>0</v>
      </c>
      <c r="F1" s="83"/>
      <c r="G1" s="84"/>
      <c r="I1" s="72" t="s">
        <v>0</v>
      </c>
      <c r="J1" s="73"/>
      <c r="K1" s="74"/>
    </row>
    <row r="2" spans="1:14" ht="132.75" customHeight="1" thickBot="1" x14ac:dyDescent="0.3">
      <c r="A2" s="95" t="s">
        <v>4</v>
      </c>
      <c r="B2" s="93"/>
      <c r="C2" s="94"/>
      <c r="E2" s="85" t="s">
        <v>5</v>
      </c>
      <c r="F2" s="83"/>
      <c r="G2" s="84"/>
      <c r="I2" s="75" t="s">
        <v>6</v>
      </c>
      <c r="J2" s="73"/>
      <c r="K2" s="74"/>
    </row>
    <row r="3" spans="1:14" ht="30.75" thickBot="1" x14ac:dyDescent="0.3">
      <c r="A3" s="5" t="s">
        <v>1</v>
      </c>
      <c r="B3" s="6" t="s">
        <v>2</v>
      </c>
      <c r="C3" s="7" t="s">
        <v>3</v>
      </c>
      <c r="E3" s="2" t="s">
        <v>1</v>
      </c>
      <c r="F3" s="3" t="s">
        <v>2</v>
      </c>
      <c r="G3" s="4" t="s">
        <v>3</v>
      </c>
      <c r="I3" s="8" t="s">
        <v>1</v>
      </c>
      <c r="J3" s="9" t="s">
        <v>2</v>
      </c>
      <c r="K3" s="10" t="s">
        <v>3</v>
      </c>
    </row>
    <row r="4" spans="1:14" x14ac:dyDescent="0.25">
      <c r="A4" s="96">
        <v>779.16</v>
      </c>
      <c r="B4" s="98">
        <v>1.2E-2</v>
      </c>
      <c r="C4" s="100">
        <f>A4*B4</f>
        <v>9.3499199999999991</v>
      </c>
      <c r="E4" s="86">
        <v>420.8</v>
      </c>
      <c r="F4" s="88">
        <v>2.3999999999999998E-3</v>
      </c>
      <c r="G4" s="90">
        <f>E4*F4</f>
        <v>1.0099199999999999</v>
      </c>
      <c r="I4" s="76"/>
      <c r="J4" s="78">
        <v>2.4E-2</v>
      </c>
      <c r="K4" s="80">
        <f>I4*J4</f>
        <v>0</v>
      </c>
    </row>
    <row r="5" spans="1:14" ht="15.75" thickBot="1" x14ac:dyDescent="0.3">
      <c r="A5" s="97"/>
      <c r="B5" s="99"/>
      <c r="C5" s="101"/>
      <c r="E5" s="87"/>
      <c r="F5" s="89"/>
      <c r="G5" s="91"/>
      <c r="I5" s="77"/>
      <c r="J5" s="79"/>
      <c r="K5" s="81"/>
    </row>
    <row r="6" spans="1:14" ht="15.75" thickBot="1" x14ac:dyDescent="0.3">
      <c r="A6" s="1"/>
      <c r="B6" s="1"/>
      <c r="C6" s="1"/>
      <c r="N6" s="23">
        <v>218810499020044</v>
      </c>
    </row>
    <row r="7" spans="1:14" ht="16.5" thickBot="1" x14ac:dyDescent="0.3">
      <c r="A7" s="69" t="s">
        <v>29</v>
      </c>
      <c r="B7" s="70"/>
      <c r="C7" s="71"/>
      <c r="E7" s="102" t="s">
        <v>0</v>
      </c>
      <c r="F7" s="103"/>
      <c r="G7" s="104"/>
      <c r="I7" s="50" t="s">
        <v>0</v>
      </c>
      <c r="J7" s="51"/>
      <c r="K7" s="52"/>
    </row>
    <row r="8" spans="1:14" ht="150.75" customHeight="1" thickBot="1" x14ac:dyDescent="0.3">
      <c r="A8" s="105" t="s">
        <v>7</v>
      </c>
      <c r="B8" s="70"/>
      <c r="C8" s="71"/>
      <c r="E8" s="106" t="s">
        <v>11</v>
      </c>
      <c r="F8" s="103"/>
      <c r="G8" s="104"/>
      <c r="I8" s="53" t="s">
        <v>12</v>
      </c>
      <c r="J8" s="51"/>
      <c r="K8" s="52"/>
    </row>
    <row r="9" spans="1:14" ht="30.75" thickBot="1" x14ac:dyDescent="0.3">
      <c r="A9" s="11" t="s">
        <v>1</v>
      </c>
      <c r="B9" s="12" t="s">
        <v>2</v>
      </c>
      <c r="C9" s="13" t="s">
        <v>3</v>
      </c>
      <c r="E9" s="14" t="s">
        <v>1</v>
      </c>
      <c r="F9" s="15" t="s">
        <v>2</v>
      </c>
      <c r="G9" s="16" t="s">
        <v>3</v>
      </c>
      <c r="I9" s="17" t="s">
        <v>1</v>
      </c>
      <c r="J9" s="18" t="s">
        <v>2</v>
      </c>
      <c r="K9" s="19" t="s">
        <v>3</v>
      </c>
    </row>
    <row r="10" spans="1:14" x14ac:dyDescent="0.25">
      <c r="A10" s="107">
        <v>10857.53</v>
      </c>
      <c r="B10" s="109">
        <v>4.8000000000000001E-2</v>
      </c>
      <c r="C10" s="111">
        <f>A10*B10</f>
        <v>521.16144000000008</v>
      </c>
      <c r="E10" s="113">
        <v>1379.84</v>
      </c>
      <c r="F10" s="115">
        <v>1.4999999999999999E-2</v>
      </c>
      <c r="G10" s="117">
        <f>E10*F10</f>
        <v>20.697599999999998</v>
      </c>
      <c r="I10" s="54">
        <v>1657.76</v>
      </c>
      <c r="J10" s="56">
        <v>0.02</v>
      </c>
      <c r="K10" s="58">
        <f>I10*J10</f>
        <v>33.155200000000001</v>
      </c>
    </row>
    <row r="11" spans="1:14" ht="15.75" thickBot="1" x14ac:dyDescent="0.3">
      <c r="A11" s="108"/>
      <c r="B11" s="110"/>
      <c r="C11" s="112"/>
      <c r="E11" s="114"/>
      <c r="F11" s="116"/>
      <c r="G11" s="118"/>
      <c r="I11" s="55"/>
      <c r="J11" s="57"/>
      <c r="K11" s="59"/>
    </row>
    <row r="12" spans="1:14" ht="15.75" thickBot="1" x14ac:dyDescent="0.3"/>
    <row r="13" spans="1:14" ht="15.75" thickBot="1" x14ac:dyDescent="0.3">
      <c r="A13" s="60" t="s">
        <v>10</v>
      </c>
      <c r="B13" s="60"/>
      <c r="C13" s="60"/>
      <c r="D13" s="60"/>
      <c r="E13" s="20" t="s">
        <v>9</v>
      </c>
      <c r="F13" s="21" t="s">
        <v>27</v>
      </c>
      <c r="I13" s="130" t="s">
        <v>21</v>
      </c>
      <c r="J13" s="131"/>
      <c r="K13" s="131"/>
      <c r="L13" s="131"/>
      <c r="M13" s="131"/>
      <c r="N13" s="132"/>
    </row>
    <row r="14" spans="1:14" ht="15.75" thickBot="1" x14ac:dyDescent="0.3">
      <c r="A14" s="67" t="s">
        <v>8</v>
      </c>
      <c r="B14" s="67"/>
      <c r="C14" s="67"/>
      <c r="D14" s="67"/>
      <c r="E14" s="22">
        <v>13685</v>
      </c>
      <c r="F14" s="22">
        <v>2995</v>
      </c>
      <c r="I14" s="133" t="s">
        <v>20</v>
      </c>
      <c r="J14" s="134"/>
      <c r="K14" s="134"/>
      <c r="L14" s="135"/>
      <c r="M14" s="130" t="s">
        <v>25</v>
      </c>
      <c r="N14" s="132"/>
    </row>
    <row r="15" spans="1:14" ht="15" customHeight="1" thickBot="1" x14ac:dyDescent="0.3">
      <c r="A15" s="68" t="s">
        <v>28</v>
      </c>
      <c r="B15" s="68"/>
      <c r="C15" s="68"/>
      <c r="D15" s="68"/>
      <c r="E15" s="22"/>
      <c r="F15" s="22"/>
      <c r="I15" s="61" t="s">
        <v>13</v>
      </c>
      <c r="J15" s="62"/>
      <c r="K15" s="62"/>
      <c r="L15" s="63"/>
      <c r="M15" s="136">
        <v>20254</v>
      </c>
      <c r="N15" s="137"/>
    </row>
    <row r="16" spans="1:14" ht="15.75" thickBot="1" x14ac:dyDescent="0.3">
      <c r="A16" s="68"/>
      <c r="B16" s="68"/>
      <c r="C16" s="68"/>
      <c r="D16" s="68"/>
      <c r="E16" s="22"/>
      <c r="F16" s="22"/>
      <c r="I16" s="61" t="s">
        <v>14</v>
      </c>
      <c r="J16" s="62"/>
      <c r="K16" s="62"/>
      <c r="L16" s="63"/>
      <c r="M16" s="136">
        <v>12964</v>
      </c>
      <c r="N16" s="137"/>
    </row>
    <row r="17" spans="1:14" ht="15.75" thickBot="1" x14ac:dyDescent="0.3">
      <c r="A17" s="67"/>
      <c r="B17" s="67"/>
      <c r="C17" s="67"/>
      <c r="D17" s="67"/>
      <c r="E17" s="22"/>
      <c r="F17" s="22"/>
      <c r="I17" s="64" t="s">
        <v>15</v>
      </c>
      <c r="J17" s="65"/>
      <c r="K17" s="65"/>
      <c r="L17" s="66"/>
      <c r="M17" s="138">
        <v>20251</v>
      </c>
      <c r="N17" s="139"/>
    </row>
    <row r="18" spans="1:14" ht="15.75" thickBot="1" x14ac:dyDescent="0.3">
      <c r="A18" s="67"/>
      <c r="B18" s="67"/>
      <c r="C18" s="67"/>
      <c r="D18" s="67"/>
      <c r="E18" s="22"/>
      <c r="F18" s="22"/>
      <c r="I18" s="61" t="s">
        <v>16</v>
      </c>
      <c r="J18" s="62"/>
      <c r="K18" s="62"/>
      <c r="L18" s="63"/>
      <c r="M18" s="136">
        <v>21659</v>
      </c>
      <c r="N18" s="137"/>
    </row>
    <row r="19" spans="1:14" ht="15.75" thickBot="1" x14ac:dyDescent="0.3">
      <c r="I19" s="64" t="s">
        <v>17</v>
      </c>
      <c r="J19" s="65"/>
      <c r="K19" s="65"/>
      <c r="L19" s="66"/>
      <c r="M19" s="138">
        <v>21660</v>
      </c>
      <c r="N19" s="139"/>
    </row>
    <row r="20" spans="1:14" ht="15.75" thickBot="1" x14ac:dyDescent="0.3">
      <c r="I20" s="61" t="s">
        <v>18</v>
      </c>
      <c r="J20" s="62"/>
      <c r="K20" s="62"/>
      <c r="L20" s="63"/>
      <c r="M20" s="136">
        <v>12332</v>
      </c>
      <c r="N20" s="137"/>
    </row>
    <row r="21" spans="1:14" ht="15.75" thickBot="1" x14ac:dyDescent="0.3">
      <c r="I21" s="64" t="s">
        <v>19</v>
      </c>
      <c r="J21" s="65"/>
      <c r="K21" s="65"/>
      <c r="L21" s="66"/>
      <c r="M21" s="119">
        <v>13862</v>
      </c>
      <c r="N21" s="120"/>
    </row>
    <row r="22" spans="1:14" ht="15" customHeight="1" x14ac:dyDescent="0.25">
      <c r="I22" s="121" t="s">
        <v>22</v>
      </c>
      <c r="J22" s="122"/>
      <c r="K22" s="122"/>
      <c r="L22" s="122"/>
      <c r="M22" s="122"/>
      <c r="N22" s="123"/>
    </row>
    <row r="23" spans="1:14" x14ac:dyDescent="0.25">
      <c r="I23" s="124"/>
      <c r="J23" s="125"/>
      <c r="K23" s="125"/>
      <c r="L23" s="125"/>
      <c r="M23" s="125"/>
      <c r="N23" s="126"/>
    </row>
    <row r="24" spans="1:14" x14ac:dyDescent="0.25">
      <c r="I24" s="124"/>
      <c r="J24" s="125"/>
      <c r="K24" s="125"/>
      <c r="L24" s="125"/>
      <c r="M24" s="125"/>
      <c r="N24" s="126"/>
    </row>
    <row r="25" spans="1:14" ht="15" customHeight="1" thickBot="1" x14ac:dyDescent="0.3">
      <c r="I25" s="127"/>
      <c r="J25" s="128"/>
      <c r="K25" s="128"/>
      <c r="L25" s="128"/>
      <c r="M25" s="128"/>
      <c r="N25" s="129"/>
    </row>
    <row r="27" spans="1:14" ht="15.75" thickBot="1" x14ac:dyDescent="0.3"/>
    <row r="28" spans="1:14" ht="15" customHeight="1" x14ac:dyDescent="0.25">
      <c r="A28" s="24" t="s">
        <v>26</v>
      </c>
      <c r="B28" s="25"/>
      <c r="C28" s="25"/>
      <c r="D28" s="25"/>
      <c r="E28" s="25"/>
      <c r="F28" s="25"/>
      <c r="G28" s="25"/>
      <c r="H28" s="25"/>
      <c r="I28" s="25"/>
      <c r="J28" s="25"/>
      <c r="K28" s="26"/>
    </row>
    <row r="29" spans="1:14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9"/>
    </row>
    <row r="30" spans="1:14" ht="15.75" thickBo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2"/>
    </row>
    <row r="31" spans="1:14" ht="15.75" thickBot="1" x14ac:dyDescent="0.3"/>
    <row r="32" spans="1:14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5"/>
    </row>
    <row r="33" spans="1:11" x14ac:dyDescent="0.25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</row>
    <row r="34" spans="1:11" ht="15.75" thickBot="1" x14ac:dyDescent="0.3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1"/>
    </row>
    <row r="35" spans="1:11" ht="15.75" thickBot="1" x14ac:dyDescent="0.3"/>
    <row r="36" spans="1:11" x14ac:dyDescent="0.25">
      <c r="A36" s="33" t="s">
        <v>24</v>
      </c>
      <c r="B36" s="42"/>
      <c r="C36" s="42"/>
      <c r="D36" s="42"/>
      <c r="E36" s="42"/>
      <c r="F36" s="42"/>
      <c r="G36" s="42"/>
      <c r="H36" s="42"/>
      <c r="I36" s="42"/>
      <c r="J36" s="42"/>
      <c r="K36" s="43"/>
    </row>
    <row r="37" spans="1:11" x14ac:dyDescent="0.25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6"/>
    </row>
    <row r="38" spans="1:11" ht="15.75" thickBot="1" x14ac:dyDescent="0.3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9"/>
    </row>
  </sheetData>
  <mergeCells count="56">
    <mergeCell ref="M21:N21"/>
    <mergeCell ref="I22:N25"/>
    <mergeCell ref="I13:N13"/>
    <mergeCell ref="I14:L14"/>
    <mergeCell ref="M14:N14"/>
    <mergeCell ref="I15:L15"/>
    <mergeCell ref="M15:N15"/>
    <mergeCell ref="I16:L16"/>
    <mergeCell ref="M16:N16"/>
    <mergeCell ref="I17:L17"/>
    <mergeCell ref="M17:N17"/>
    <mergeCell ref="I18:L18"/>
    <mergeCell ref="M18:N18"/>
    <mergeCell ref="I19:L19"/>
    <mergeCell ref="M19:N19"/>
    <mergeCell ref="M20:N20"/>
    <mergeCell ref="E7:G7"/>
    <mergeCell ref="A8:C8"/>
    <mergeCell ref="E8:G8"/>
    <mergeCell ref="A10:A11"/>
    <mergeCell ref="B10:B11"/>
    <mergeCell ref="C10:C11"/>
    <mergeCell ref="E10:E11"/>
    <mergeCell ref="F10:F11"/>
    <mergeCell ref="G10:G11"/>
    <mergeCell ref="A1:C1"/>
    <mergeCell ref="A2:C2"/>
    <mergeCell ref="A4:A5"/>
    <mergeCell ref="B4:B5"/>
    <mergeCell ref="C4:C5"/>
    <mergeCell ref="E1:G1"/>
    <mergeCell ref="E2:G2"/>
    <mergeCell ref="E4:E5"/>
    <mergeCell ref="F4:F5"/>
    <mergeCell ref="G4:G5"/>
    <mergeCell ref="I1:K1"/>
    <mergeCell ref="I2:K2"/>
    <mergeCell ref="I4:I5"/>
    <mergeCell ref="J4:J5"/>
    <mergeCell ref="K4:K5"/>
    <mergeCell ref="A28:K30"/>
    <mergeCell ref="A32:K34"/>
    <mergeCell ref="A36:K38"/>
    <mergeCell ref="I7:K7"/>
    <mergeCell ref="I8:K8"/>
    <mergeCell ref="I10:I11"/>
    <mergeCell ref="J10:J11"/>
    <mergeCell ref="K10:K11"/>
    <mergeCell ref="A13:D13"/>
    <mergeCell ref="I20:L20"/>
    <mergeCell ref="I21:L21"/>
    <mergeCell ref="A14:D14"/>
    <mergeCell ref="A17:D17"/>
    <mergeCell ref="A18:D18"/>
    <mergeCell ref="A15:D16"/>
    <mergeCell ref="A7:C7"/>
  </mergeCells>
  <pageMargins left="0.42" right="0.51181102362204722" top="0.27" bottom="0.16" header="0.18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- Educação</dc:creator>
  <cp:lastModifiedBy>Myke Matos dos Santos</cp:lastModifiedBy>
  <cp:lastPrinted>2024-01-25T21:02:30Z</cp:lastPrinted>
  <dcterms:created xsi:type="dcterms:W3CDTF">2023-08-24T18:10:27Z</dcterms:created>
  <dcterms:modified xsi:type="dcterms:W3CDTF">2025-11-10T13:55:43Z</dcterms:modified>
</cp:coreProperties>
</file>