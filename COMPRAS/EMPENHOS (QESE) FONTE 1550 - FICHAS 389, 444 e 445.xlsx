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"/>
    </mc:Choice>
  </mc:AlternateContent>
  <xr:revisionPtr revIDLastSave="169" documentId="8_{EC770B8A-4552-4A7B-9038-13989D1A97E7}" xr6:coauthVersionLast="47" xr6:coauthVersionMax="47" xr10:uidLastSave="{27EA87FC-2A6C-4C90-B763-327A0C3C4C75}"/>
  <bookViews>
    <workbookView xWindow="-120" yWindow="-120" windowWidth="20730" windowHeight="11160" activeTab="2" xr2:uid="{00000000-000D-0000-FFFF-FFFF00000000}"/>
  </bookViews>
  <sheets>
    <sheet name="FONTE 2550 e 1550 - FICHA 389" sheetId="9" r:id="rId1"/>
    <sheet name="FONTE 1550 - FICHA 444" sheetId="7" r:id="rId2"/>
    <sheet name="FONTE 1550 - FICHA 445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9" l="1"/>
  <c r="F78" i="9"/>
  <c r="G78" i="7"/>
  <c r="F78" i="7"/>
  <c r="G78" i="8"/>
  <c r="F78" i="8"/>
</calcChain>
</file>

<file path=xl/sharedStrings.xml><?xml version="1.0" encoding="utf-8"?>
<sst xmlns="http://schemas.openxmlformats.org/spreadsheetml/2006/main" count="136" uniqueCount="16">
  <si>
    <t>DATA</t>
  </si>
  <si>
    <t>HISTÓRICO</t>
  </si>
  <si>
    <t>FONTE</t>
  </si>
  <si>
    <t>DÉBITO</t>
  </si>
  <si>
    <t>FICHA</t>
  </si>
  <si>
    <t>EMPENHO</t>
  </si>
  <si>
    <t>CRÉDITO</t>
  </si>
  <si>
    <r>
      <rPr>
        <b/>
        <sz val="12"/>
        <rFont val="Cambria"/>
        <family val="1"/>
        <scheme val="major"/>
      </rPr>
      <t>Prefeitura Municipal de Fronteira</t>
    </r>
    <r>
      <rPr>
        <b/>
        <sz val="11"/>
        <rFont val="Cambria"/>
        <family val="1"/>
        <scheme val="major"/>
      </rPr>
      <t xml:space="preserve">
EXTRATO ANALÍTICO DE DOTAÇÕES DO PERÍODO DE 01/01/2025 A 31/12/2025</t>
    </r>
  </si>
  <si>
    <t>ATUALIZADO: 01/04/2025</t>
  </si>
  <si>
    <t xml:space="preserve">CREDITO SUPLEMENTAR </t>
  </si>
  <si>
    <t>EMPENHO PRONTINHO INDUSTRIA E COMÉRCIO LTDA</t>
  </si>
  <si>
    <t>EMPENHO VERA LUCIA DE MORAIS JAMBERA - EPP</t>
  </si>
  <si>
    <t>EMPENHO FABIANA C. F. MOLINA</t>
  </si>
  <si>
    <t xml:space="preserve">EMPENHO PRONTINHO INDUSTRIA E COMÉRCIO LTDA </t>
  </si>
  <si>
    <t xml:space="preserve">EMPENHO FABIANA C. F. MOLINA </t>
  </si>
  <si>
    <t xml:space="preserve">EMPENHO SABRINA RIBEIRO SANTIAGO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</si>
</sst>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;@"/>
    <numFmt numFmtId="165" formatCode="&quot;R$&quot;\ #,##0.00"/>
  </numFmts>
  <fonts count="6" x14ac:knownFonts="1">
    <font>
      <sz val="10"/>
      <color rgb="FF000000"/>
      <name val="Times New Roman"/>
      <charset val="204"/>
    </font>
    <font>
      <sz val="10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0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165" fontId="0" fillId="0" borderId="0" xfId="0" applyNumberForma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top"/>
    </xf>
    <xf numFmtId="164" fontId="1" fillId="0" borderId="5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horizontal="center" vertical="top" shrinkToFi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top"/>
    </xf>
    <xf numFmtId="165" fontId="1" fillId="2" borderId="5" xfId="0" applyNumberFormat="1" applyFont="1" applyFill="1" applyBorder="1" applyAlignment="1">
      <alignment wrapText="1"/>
    </xf>
    <xf numFmtId="165" fontId="1" fillId="2" borderId="5" xfId="0" applyNumberFormat="1" applyFont="1" applyFill="1" applyBorder="1" applyAlignment="1">
      <alignment vertical="top" shrinkToFit="1"/>
    </xf>
    <xf numFmtId="0" fontId="2" fillId="3" borderId="5" xfId="0" applyFont="1" applyFill="1" applyBorder="1" applyAlignment="1">
      <alignment horizontal="center" vertical="top"/>
    </xf>
    <xf numFmtId="165" fontId="1" fillId="3" borderId="5" xfId="0" applyNumberFormat="1" applyFont="1" applyFill="1" applyBorder="1" applyAlignment="1">
      <alignment wrapText="1"/>
    </xf>
    <xf numFmtId="165" fontId="1" fillId="3" borderId="5" xfId="0" applyNumberFormat="1" applyFont="1" applyFill="1" applyBorder="1" applyAlignment="1">
      <alignment vertical="top" shrinkToFit="1"/>
    </xf>
    <xf numFmtId="165" fontId="1" fillId="2" borderId="11" xfId="0" applyNumberFormat="1" applyFont="1" applyFill="1" applyBorder="1" applyAlignment="1">
      <alignment wrapText="1"/>
    </xf>
    <xf numFmtId="165" fontId="1" fillId="3" borderId="11" xfId="0" applyNumberFormat="1" applyFont="1" applyFill="1" applyBorder="1" applyAlignment="1">
      <alignment vertical="top" shrinkToFit="1"/>
    </xf>
    <xf numFmtId="165" fontId="2" fillId="2" borderId="10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top" shrinkToFit="1"/>
    </xf>
    <xf numFmtId="165" fontId="1" fillId="2" borderId="5" xfId="0" applyNumberFormat="1" applyFont="1" applyFill="1" applyBorder="1" applyAlignment="1">
      <alignment vertical="center" wrapText="1"/>
    </xf>
    <xf numFmtId="165" fontId="1" fillId="3" borderId="5" xfId="0" applyNumberFormat="1" applyFont="1" applyFill="1" applyBorder="1" applyAlignment="1">
      <alignment vertical="center" shrinkToFit="1"/>
    </xf>
    <xf numFmtId="165" fontId="1" fillId="2" borderId="5" xfId="0" applyNumberFormat="1" applyFont="1" applyFill="1" applyBorder="1" applyAlignment="1">
      <alignment vertical="center" shrinkToFit="1"/>
    </xf>
    <xf numFmtId="165" fontId="1" fillId="3" borderId="5" xfId="0" applyNumberFormat="1" applyFont="1" applyFill="1" applyBorder="1" applyAlignment="1">
      <alignment vertical="center" wrapText="1"/>
    </xf>
    <xf numFmtId="44" fontId="1" fillId="3" borderId="5" xfId="0" applyNumberFormat="1" applyFont="1" applyFill="1" applyBorder="1" applyAlignment="1">
      <alignment vertical="center"/>
    </xf>
    <xf numFmtId="44" fontId="1" fillId="2" borderId="5" xfId="0" applyNumberFormat="1" applyFont="1" applyFill="1" applyBorder="1" applyAlignment="1">
      <alignment vertical="center" shrinkToFit="1"/>
    </xf>
    <xf numFmtId="44" fontId="1" fillId="3" borderId="5" xfId="0" applyNumberFormat="1" applyFont="1" applyFill="1" applyBorder="1" applyAlignment="1">
      <alignment vertical="center" wrapText="1"/>
    </xf>
    <xf numFmtId="44" fontId="1" fillId="2" borderId="5" xfId="0" applyNumberFormat="1" applyFont="1" applyFill="1" applyBorder="1" applyAlignment="1">
      <alignment vertical="center" wrapText="1"/>
    </xf>
    <xf numFmtId="44" fontId="1" fillId="3" borderId="5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142112</xdr:colOff>
      <xdr:row>0</xdr:row>
      <xdr:rowOff>47625</xdr:rowOff>
    </xdr:from>
    <xdr:ext cx="560831" cy="464819"/>
    <xdr:pic>
      <xdr:nvPicPr>
        <xdr:cNvPr id="2" name="image1.jpeg">
          <a:extLst>
            <a:ext uri="{FF2B5EF4-FFF2-40B4-BE49-F238E27FC236}">
              <a16:creationId xmlns:a16="http://schemas.microsoft.com/office/drawing/2014/main" id="{9CDD3976-654A-4C75-96D0-4D2DB8FB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2" y="47625"/>
          <a:ext cx="560831" cy="464819"/>
        </a:xfrm>
        <a:prstGeom prst="rect">
          <a:avLst/>
        </a:prstGeom>
      </xdr:spPr>
    </xdr:pic>
    <xdr:clientData/>
  </xdr:oneCellAnchor>
  <xdr:oneCellAnchor>
    <xdr:from>
      <xdr:col>0</xdr:col>
      <xdr:colOff>113537</xdr:colOff>
      <xdr:row>0</xdr:row>
      <xdr:rowOff>57150</xdr:rowOff>
    </xdr:from>
    <xdr:ext cx="560831" cy="464819"/>
    <xdr:pic>
      <xdr:nvPicPr>
        <xdr:cNvPr id="3" name="image1.jpeg">
          <a:extLst>
            <a:ext uri="{FF2B5EF4-FFF2-40B4-BE49-F238E27FC236}">
              <a16:creationId xmlns:a16="http://schemas.microsoft.com/office/drawing/2014/main" id="{641A0F20-C202-42A5-8D4D-E4A8CCD4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7" y="57150"/>
          <a:ext cx="560831" cy="4648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142112</xdr:colOff>
      <xdr:row>0</xdr:row>
      <xdr:rowOff>47625</xdr:rowOff>
    </xdr:from>
    <xdr:ext cx="560831" cy="46481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2" y="47625"/>
          <a:ext cx="560831" cy="464819"/>
        </a:xfrm>
        <a:prstGeom prst="rect">
          <a:avLst/>
        </a:prstGeom>
      </xdr:spPr>
    </xdr:pic>
    <xdr:clientData/>
  </xdr:oneCellAnchor>
  <xdr:oneCellAnchor>
    <xdr:from>
      <xdr:col>0</xdr:col>
      <xdr:colOff>113537</xdr:colOff>
      <xdr:row>0</xdr:row>
      <xdr:rowOff>57150</xdr:rowOff>
    </xdr:from>
    <xdr:ext cx="560831" cy="464819"/>
    <xdr:pic>
      <xdr:nvPicPr>
        <xdr:cNvPr id="3" name="image1.jpeg">
          <a:extLst>
            <a:ext uri="{FF2B5EF4-FFF2-40B4-BE49-F238E27FC236}">
              <a16:creationId xmlns:a16="http://schemas.microsoft.com/office/drawing/2014/main" id="{FFB510E5-9992-4DB3-9579-9CBAE4798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7" y="57150"/>
          <a:ext cx="560831" cy="46481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113537</xdr:colOff>
      <xdr:row>0</xdr:row>
      <xdr:rowOff>57150</xdr:rowOff>
    </xdr:from>
    <xdr:ext cx="560831" cy="46481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7" y="57150"/>
          <a:ext cx="560831" cy="4648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97A9-00F6-422D-AE13-C722410B4DDF}">
  <dimension ref="A1:G259"/>
  <sheetViews>
    <sheetView topLeftCell="A32" workbookViewId="0">
      <selection activeCell="A46" sqref="A46"/>
    </sheetView>
  </sheetViews>
  <sheetFormatPr defaultColWidth="63.83203125" defaultRowHeight="12.75" x14ac:dyDescent="0.2"/>
  <cols>
    <col min="1" max="1" width="13.33203125" bestFit="1" customWidth="1"/>
    <col min="2" max="2" width="13.5" bestFit="1" customWidth="1"/>
    <col min="3" max="3" width="71.33203125" bestFit="1" customWidth="1"/>
    <col min="4" max="4" width="11.5" style="1" customWidth="1"/>
    <col min="5" max="5" width="12.83203125" customWidth="1"/>
    <col min="6" max="6" width="18.33203125" bestFit="1" customWidth="1"/>
    <col min="7" max="7" width="16.5" bestFit="1" customWidth="1"/>
    <col min="9" max="9" width="13.33203125" bestFit="1" customWidth="1"/>
  </cols>
  <sheetData>
    <row r="1" spans="1:7" ht="22.5" customHeight="1" x14ac:dyDescent="0.2">
      <c r="A1" s="29"/>
      <c r="B1" s="31" t="s">
        <v>7</v>
      </c>
      <c r="C1" s="32"/>
      <c r="D1" s="32"/>
      <c r="E1" s="33"/>
      <c r="F1" s="31" t="s">
        <v>8</v>
      </c>
      <c r="G1" s="32"/>
    </row>
    <row r="2" spans="1:7" ht="22.5" customHeight="1" x14ac:dyDescent="0.2">
      <c r="A2" s="30"/>
      <c r="B2" s="34"/>
      <c r="C2" s="35"/>
      <c r="D2" s="35"/>
      <c r="E2" s="36"/>
      <c r="F2" s="34"/>
      <c r="G2" s="35"/>
    </row>
    <row r="3" spans="1:7" ht="14.25" x14ac:dyDescent="0.2">
      <c r="A3" s="3" t="s">
        <v>0</v>
      </c>
      <c r="B3" s="3" t="s">
        <v>5</v>
      </c>
      <c r="C3" s="3" t="s">
        <v>1</v>
      </c>
      <c r="D3" s="3" t="s">
        <v>2</v>
      </c>
      <c r="E3" s="3" t="s">
        <v>4</v>
      </c>
      <c r="F3" s="9" t="s">
        <v>3</v>
      </c>
      <c r="G3" s="12" t="s">
        <v>6</v>
      </c>
    </row>
    <row r="4" spans="1:7" x14ac:dyDescent="0.2">
      <c r="A4" s="19">
        <v>45659</v>
      </c>
      <c r="B4" s="7">
        <v>7575</v>
      </c>
      <c r="C4" s="6" t="s">
        <v>9</v>
      </c>
      <c r="D4" s="5">
        <v>2550</v>
      </c>
      <c r="E4" s="5">
        <v>389</v>
      </c>
      <c r="F4" s="25"/>
      <c r="G4" s="24">
        <v>14279.35</v>
      </c>
    </row>
    <row r="5" spans="1:7" x14ac:dyDescent="0.2">
      <c r="A5" s="19">
        <v>45688</v>
      </c>
      <c r="B5" s="7">
        <v>1131</v>
      </c>
      <c r="C5" s="6" t="s">
        <v>10</v>
      </c>
      <c r="D5" s="5">
        <v>2550</v>
      </c>
      <c r="E5" s="5">
        <v>389</v>
      </c>
      <c r="F5" s="25">
        <v>2049.48</v>
      </c>
      <c r="G5" s="24"/>
    </row>
    <row r="6" spans="1:7" x14ac:dyDescent="0.2">
      <c r="A6" s="19">
        <v>45709</v>
      </c>
      <c r="B6" s="7">
        <v>1452</v>
      </c>
      <c r="C6" s="6" t="s">
        <v>11</v>
      </c>
      <c r="D6" s="5">
        <v>2550</v>
      </c>
      <c r="E6" s="5">
        <v>389</v>
      </c>
      <c r="F6" s="25">
        <v>261.24</v>
      </c>
      <c r="G6" s="24"/>
    </row>
    <row r="7" spans="1:7" x14ac:dyDescent="0.2">
      <c r="A7" s="19">
        <v>45709</v>
      </c>
      <c r="B7" s="7">
        <v>1453</v>
      </c>
      <c r="C7" s="6" t="s">
        <v>11</v>
      </c>
      <c r="D7" s="5">
        <v>2550</v>
      </c>
      <c r="E7" s="5">
        <v>389</v>
      </c>
      <c r="F7" s="25">
        <v>8158.7</v>
      </c>
      <c r="G7" s="24"/>
    </row>
    <row r="8" spans="1:7" x14ac:dyDescent="0.2">
      <c r="A8" s="19">
        <v>45709</v>
      </c>
      <c r="B8" s="7">
        <v>1454</v>
      </c>
      <c r="C8" s="6" t="s">
        <v>11</v>
      </c>
      <c r="D8" s="5">
        <v>2550</v>
      </c>
      <c r="E8" s="5">
        <v>389</v>
      </c>
      <c r="F8" s="25">
        <v>3541.8</v>
      </c>
      <c r="G8" s="24"/>
    </row>
    <row r="9" spans="1:7" x14ac:dyDescent="0.2">
      <c r="A9" s="19">
        <v>45719</v>
      </c>
      <c r="B9" s="7">
        <v>1810</v>
      </c>
      <c r="C9" s="6" t="s">
        <v>10</v>
      </c>
      <c r="D9" s="5">
        <v>2550</v>
      </c>
      <c r="E9" s="5">
        <v>389</v>
      </c>
      <c r="F9" s="25">
        <v>264.43</v>
      </c>
      <c r="G9" s="24"/>
    </row>
    <row r="10" spans="1:7" x14ac:dyDescent="0.2">
      <c r="A10" s="19">
        <v>45700</v>
      </c>
      <c r="B10" s="7">
        <v>1287</v>
      </c>
      <c r="C10" s="6" t="s">
        <v>12</v>
      </c>
      <c r="D10" s="5">
        <v>1550</v>
      </c>
      <c r="E10" s="5">
        <v>389</v>
      </c>
      <c r="F10" s="25">
        <v>14449.12</v>
      </c>
      <c r="G10" s="24"/>
    </row>
    <row r="11" spans="1:7" x14ac:dyDescent="0.2">
      <c r="A11" s="19">
        <v>45706</v>
      </c>
      <c r="B11" s="7">
        <v>1398</v>
      </c>
      <c r="C11" s="6" t="s">
        <v>11</v>
      </c>
      <c r="D11" s="5">
        <v>1550</v>
      </c>
      <c r="E11" s="5">
        <v>389</v>
      </c>
      <c r="F11" s="25">
        <v>27276.57</v>
      </c>
      <c r="G11" s="24"/>
    </row>
    <row r="12" spans="1:7" x14ac:dyDescent="0.2">
      <c r="A12" s="19">
        <v>45709</v>
      </c>
      <c r="B12" s="7">
        <v>1455</v>
      </c>
      <c r="C12" s="6" t="s">
        <v>11</v>
      </c>
      <c r="D12" s="5">
        <v>1550</v>
      </c>
      <c r="E12" s="5">
        <v>389</v>
      </c>
      <c r="F12" s="25">
        <v>9689.2000000000007</v>
      </c>
      <c r="G12" s="24"/>
    </row>
    <row r="13" spans="1:7" x14ac:dyDescent="0.2">
      <c r="A13" s="19">
        <v>45715</v>
      </c>
      <c r="B13" s="7">
        <v>1529</v>
      </c>
      <c r="C13" s="6" t="s">
        <v>11</v>
      </c>
      <c r="D13" s="5">
        <v>1550</v>
      </c>
      <c r="E13" s="5">
        <v>389</v>
      </c>
      <c r="F13" s="25">
        <v>2045.59</v>
      </c>
      <c r="G13" s="24"/>
    </row>
    <row r="14" spans="1:7" x14ac:dyDescent="0.2">
      <c r="A14" s="19">
        <v>45719</v>
      </c>
      <c r="B14" s="7">
        <v>1809</v>
      </c>
      <c r="C14" s="6" t="s">
        <v>10</v>
      </c>
      <c r="D14" s="5">
        <v>1550</v>
      </c>
      <c r="E14" s="5">
        <v>389</v>
      </c>
      <c r="F14" s="25">
        <v>7495.34</v>
      </c>
      <c r="G14" s="24"/>
    </row>
    <row r="15" spans="1:7" x14ac:dyDescent="0.2">
      <c r="A15" s="19">
        <v>45722</v>
      </c>
      <c r="B15" s="7">
        <v>1855</v>
      </c>
      <c r="C15" s="6" t="s">
        <v>11</v>
      </c>
      <c r="D15" s="5">
        <v>1550</v>
      </c>
      <c r="E15" s="5">
        <v>389</v>
      </c>
      <c r="F15" s="25">
        <v>1238.02</v>
      </c>
      <c r="G15" s="24"/>
    </row>
    <row r="16" spans="1:7" x14ac:dyDescent="0.2">
      <c r="A16" s="19">
        <v>45737</v>
      </c>
      <c r="B16" s="7">
        <v>2027</v>
      </c>
      <c r="C16" s="6" t="s">
        <v>11</v>
      </c>
      <c r="D16" s="5">
        <v>1550</v>
      </c>
      <c r="E16" s="5">
        <v>389</v>
      </c>
      <c r="F16" s="25">
        <v>2331.29</v>
      </c>
      <c r="G16" s="24"/>
    </row>
    <row r="17" spans="1:7" x14ac:dyDescent="0.2">
      <c r="A17" s="19">
        <v>45737</v>
      </c>
      <c r="B17" s="7">
        <v>2028</v>
      </c>
      <c r="C17" s="6" t="s">
        <v>11</v>
      </c>
      <c r="D17" s="5">
        <v>1550</v>
      </c>
      <c r="E17" s="5">
        <v>389</v>
      </c>
      <c r="F17" s="25">
        <v>8053.91</v>
      </c>
      <c r="G17" s="24"/>
    </row>
    <row r="18" spans="1:7" x14ac:dyDescent="0.2">
      <c r="A18" s="19">
        <v>45737</v>
      </c>
      <c r="B18" s="7">
        <v>2030</v>
      </c>
      <c r="C18" s="6" t="s">
        <v>11</v>
      </c>
      <c r="D18" s="5">
        <v>1550</v>
      </c>
      <c r="E18" s="5">
        <v>389</v>
      </c>
      <c r="F18" s="25">
        <v>9709.57</v>
      </c>
      <c r="G18" s="24"/>
    </row>
    <row r="19" spans="1:7" x14ac:dyDescent="0.2">
      <c r="A19" s="19">
        <v>45742</v>
      </c>
      <c r="B19" s="7">
        <v>2082</v>
      </c>
      <c r="C19" s="6" t="s">
        <v>10</v>
      </c>
      <c r="D19" s="5">
        <v>1550</v>
      </c>
      <c r="E19" s="5">
        <v>389</v>
      </c>
      <c r="F19" s="25">
        <v>6977.65</v>
      </c>
      <c r="G19" s="24"/>
    </row>
    <row r="20" spans="1:7" x14ac:dyDescent="0.2">
      <c r="A20" s="19">
        <v>45755</v>
      </c>
      <c r="B20" s="7">
        <v>2549</v>
      </c>
      <c r="C20" s="6" t="s">
        <v>11</v>
      </c>
      <c r="D20" s="5">
        <v>1550</v>
      </c>
      <c r="E20" s="5">
        <v>389</v>
      </c>
      <c r="F20" s="25">
        <v>841.54</v>
      </c>
      <c r="G20" s="24"/>
    </row>
    <row r="21" spans="1:7" x14ac:dyDescent="0.2">
      <c r="A21" s="19">
        <v>45769</v>
      </c>
      <c r="B21" s="7">
        <v>2751</v>
      </c>
      <c r="C21" s="6" t="s">
        <v>11</v>
      </c>
      <c r="D21" s="5">
        <v>1550</v>
      </c>
      <c r="E21" s="5">
        <v>389</v>
      </c>
      <c r="F21" s="25">
        <v>14210.58</v>
      </c>
      <c r="G21" s="24"/>
    </row>
    <row r="22" spans="1:7" x14ac:dyDescent="0.2">
      <c r="A22" s="19">
        <v>45769</v>
      </c>
      <c r="B22" s="7">
        <v>2752</v>
      </c>
      <c r="C22" s="6" t="s">
        <v>11</v>
      </c>
      <c r="D22" s="5">
        <v>1550</v>
      </c>
      <c r="E22" s="5">
        <v>389</v>
      </c>
      <c r="F22" s="25">
        <v>11907.87</v>
      </c>
      <c r="G22" s="24"/>
    </row>
    <row r="23" spans="1:7" x14ac:dyDescent="0.2">
      <c r="A23" s="19">
        <v>45769</v>
      </c>
      <c r="B23" s="7">
        <v>2756</v>
      </c>
      <c r="C23" s="6" t="s">
        <v>10</v>
      </c>
      <c r="D23" s="5">
        <v>1550</v>
      </c>
      <c r="E23" s="5">
        <v>389</v>
      </c>
      <c r="F23" s="25">
        <v>7411.24</v>
      </c>
      <c r="G23" s="24"/>
    </row>
    <row r="24" spans="1:7" x14ac:dyDescent="0.2">
      <c r="A24" s="19">
        <v>45769</v>
      </c>
      <c r="B24" s="7">
        <v>2760</v>
      </c>
      <c r="C24" s="6" t="s">
        <v>11</v>
      </c>
      <c r="D24" s="5">
        <v>1550</v>
      </c>
      <c r="E24" s="5">
        <v>389</v>
      </c>
      <c r="F24" s="25">
        <v>3361.07</v>
      </c>
      <c r="G24" s="24"/>
    </row>
    <row r="25" spans="1:7" x14ac:dyDescent="0.2">
      <c r="A25" s="19">
        <v>45769</v>
      </c>
      <c r="B25" s="7">
        <v>2750</v>
      </c>
      <c r="C25" s="6" t="s">
        <v>11</v>
      </c>
      <c r="D25" s="5">
        <v>1550</v>
      </c>
      <c r="E25" s="5">
        <v>389</v>
      </c>
      <c r="F25" s="25">
        <v>2717.74</v>
      </c>
      <c r="G25" s="24"/>
    </row>
    <row r="26" spans="1:7" x14ac:dyDescent="0.2">
      <c r="A26" s="19">
        <v>45797</v>
      </c>
      <c r="B26" s="7">
        <v>3429</v>
      </c>
      <c r="C26" s="6" t="s">
        <v>11</v>
      </c>
      <c r="D26" s="5">
        <v>1550</v>
      </c>
      <c r="E26" s="5">
        <v>389</v>
      </c>
      <c r="F26" s="25">
        <v>2415.27</v>
      </c>
      <c r="G26" s="24"/>
    </row>
    <row r="27" spans="1:7" x14ac:dyDescent="0.2">
      <c r="A27" s="19">
        <v>45797</v>
      </c>
      <c r="B27" s="7">
        <v>3430</v>
      </c>
      <c r="C27" s="6" t="s">
        <v>11</v>
      </c>
      <c r="D27" s="5">
        <v>1550</v>
      </c>
      <c r="E27" s="5">
        <v>389</v>
      </c>
      <c r="F27" s="25">
        <v>9228.73</v>
      </c>
      <c r="G27" s="24"/>
    </row>
    <row r="28" spans="1:7" x14ac:dyDescent="0.2">
      <c r="A28" s="19">
        <v>45797</v>
      </c>
      <c r="B28" s="7">
        <v>3431</v>
      </c>
      <c r="C28" s="6" t="s">
        <v>11</v>
      </c>
      <c r="D28" s="5">
        <v>1550</v>
      </c>
      <c r="E28" s="5">
        <v>389</v>
      </c>
      <c r="F28" s="25">
        <v>6987.51</v>
      </c>
      <c r="G28" s="24"/>
    </row>
    <row r="29" spans="1:7" x14ac:dyDescent="0.2">
      <c r="A29" s="19">
        <v>45797</v>
      </c>
      <c r="B29" s="7">
        <v>3428</v>
      </c>
      <c r="C29" s="6" t="s">
        <v>11</v>
      </c>
      <c r="D29" s="5">
        <v>1550</v>
      </c>
      <c r="E29" s="5">
        <v>389</v>
      </c>
      <c r="F29" s="25">
        <v>1756.95</v>
      </c>
      <c r="G29" s="24"/>
    </row>
    <row r="30" spans="1:7" x14ac:dyDescent="0.2">
      <c r="A30" s="19">
        <v>45804</v>
      </c>
      <c r="B30" s="7">
        <v>3580</v>
      </c>
      <c r="C30" s="6" t="s">
        <v>10</v>
      </c>
      <c r="D30" s="5">
        <v>1550</v>
      </c>
      <c r="E30" s="5">
        <v>389</v>
      </c>
      <c r="F30" s="25">
        <v>6224.04</v>
      </c>
      <c r="G30" s="24"/>
    </row>
    <row r="31" spans="1:7" x14ac:dyDescent="0.2">
      <c r="A31" s="19">
        <v>45831</v>
      </c>
      <c r="B31" s="7">
        <v>4300</v>
      </c>
      <c r="C31" s="6" t="s">
        <v>11</v>
      </c>
      <c r="D31" s="5">
        <v>1550</v>
      </c>
      <c r="E31" s="5">
        <v>389</v>
      </c>
      <c r="F31" s="25">
        <v>689.92</v>
      </c>
      <c r="G31" s="24"/>
    </row>
    <row r="32" spans="1:7" x14ac:dyDescent="0.2">
      <c r="A32" s="19">
        <v>45831</v>
      </c>
      <c r="B32" s="7">
        <v>4301</v>
      </c>
      <c r="C32" s="6" t="s">
        <v>11</v>
      </c>
      <c r="D32" s="5">
        <v>1550</v>
      </c>
      <c r="E32" s="5">
        <v>389</v>
      </c>
      <c r="F32" s="25">
        <v>3750.06</v>
      </c>
      <c r="G32" s="24"/>
    </row>
    <row r="33" spans="1:7" x14ac:dyDescent="0.2">
      <c r="A33" s="19">
        <v>45835</v>
      </c>
      <c r="B33" s="7">
        <v>4673</v>
      </c>
      <c r="C33" s="6" t="s">
        <v>10</v>
      </c>
      <c r="D33" s="5">
        <v>1550</v>
      </c>
      <c r="E33" s="5">
        <v>389</v>
      </c>
      <c r="F33" s="25">
        <v>5328</v>
      </c>
      <c r="G33" s="24"/>
    </row>
    <row r="34" spans="1:7" x14ac:dyDescent="0.2">
      <c r="A34" s="19">
        <v>45842</v>
      </c>
      <c r="B34" s="7">
        <v>4787</v>
      </c>
      <c r="C34" s="6" t="s">
        <v>11</v>
      </c>
      <c r="D34" s="5">
        <v>1550</v>
      </c>
      <c r="E34" s="5">
        <v>389</v>
      </c>
      <c r="F34" s="25">
        <v>4452.2</v>
      </c>
      <c r="G34" s="24"/>
    </row>
    <row r="35" spans="1:7" x14ac:dyDescent="0.2">
      <c r="A35" s="19">
        <v>45842</v>
      </c>
      <c r="B35" s="7">
        <v>4788</v>
      </c>
      <c r="C35" s="6" t="s">
        <v>11</v>
      </c>
      <c r="D35" s="5">
        <v>1550</v>
      </c>
      <c r="E35" s="5">
        <v>389</v>
      </c>
      <c r="F35" s="25">
        <v>6413.95</v>
      </c>
      <c r="G35" s="24"/>
    </row>
    <row r="36" spans="1:7" x14ac:dyDescent="0.2">
      <c r="A36" s="19">
        <v>45842</v>
      </c>
      <c r="B36" s="7">
        <v>4786</v>
      </c>
      <c r="C36" s="6" t="s">
        <v>11</v>
      </c>
      <c r="D36" s="5">
        <v>1550</v>
      </c>
      <c r="E36" s="5">
        <v>389</v>
      </c>
      <c r="F36" s="25">
        <v>8222.41</v>
      </c>
      <c r="G36" s="24"/>
    </row>
    <row r="37" spans="1:7" x14ac:dyDescent="0.2">
      <c r="A37" s="19">
        <v>45862</v>
      </c>
      <c r="B37" s="7">
        <v>5300</v>
      </c>
      <c r="C37" s="6" t="s">
        <v>11</v>
      </c>
      <c r="D37" s="5">
        <v>1550</v>
      </c>
      <c r="E37" s="5">
        <v>389</v>
      </c>
      <c r="F37" s="25">
        <v>477.6</v>
      </c>
      <c r="G37" s="26"/>
    </row>
    <row r="38" spans="1:7" x14ac:dyDescent="0.2">
      <c r="A38" s="19">
        <v>45862</v>
      </c>
      <c r="B38" s="7">
        <v>5301</v>
      </c>
      <c r="C38" s="6" t="s">
        <v>11</v>
      </c>
      <c r="D38" s="5">
        <v>1550</v>
      </c>
      <c r="E38" s="5">
        <v>389</v>
      </c>
      <c r="F38" s="25">
        <v>683.7</v>
      </c>
      <c r="G38" s="26"/>
    </row>
    <row r="39" spans="1:7" x14ac:dyDescent="0.2">
      <c r="A39" s="19">
        <v>45862</v>
      </c>
      <c r="B39" s="7">
        <v>5299</v>
      </c>
      <c r="C39" s="6" t="s">
        <v>11</v>
      </c>
      <c r="D39" s="5">
        <v>1550</v>
      </c>
      <c r="E39" s="5">
        <v>389</v>
      </c>
      <c r="F39" s="25">
        <v>2000.2</v>
      </c>
      <c r="G39" s="26"/>
    </row>
    <row r="40" spans="1:7" x14ac:dyDescent="0.2">
      <c r="A40" s="19">
        <v>45862</v>
      </c>
      <c r="B40" s="7">
        <v>5302</v>
      </c>
      <c r="C40" s="6" t="s">
        <v>11</v>
      </c>
      <c r="D40" s="5">
        <v>1550</v>
      </c>
      <c r="E40" s="5">
        <v>389</v>
      </c>
      <c r="F40" s="25">
        <v>2265.9</v>
      </c>
      <c r="G40" s="26"/>
    </row>
    <row r="41" spans="1:7" x14ac:dyDescent="0.2">
      <c r="A41" s="19">
        <v>45869</v>
      </c>
      <c r="B41" s="7">
        <v>5701</v>
      </c>
      <c r="C41" s="6" t="s">
        <v>15</v>
      </c>
      <c r="D41" s="5">
        <v>1550</v>
      </c>
      <c r="E41" s="5">
        <v>389</v>
      </c>
      <c r="F41" s="25">
        <v>8648.4</v>
      </c>
      <c r="G41" s="26"/>
    </row>
    <row r="42" spans="1:7" x14ac:dyDescent="0.2">
      <c r="A42" s="19">
        <v>45869</v>
      </c>
      <c r="B42" s="7">
        <v>5702</v>
      </c>
      <c r="C42" s="6" t="s">
        <v>15</v>
      </c>
      <c r="D42" s="5">
        <v>1550</v>
      </c>
      <c r="E42" s="5">
        <v>389</v>
      </c>
      <c r="F42" s="25">
        <v>9291.4</v>
      </c>
      <c r="G42" s="26"/>
    </row>
    <row r="43" spans="1:7" x14ac:dyDescent="0.2">
      <c r="A43" s="19">
        <v>45869</v>
      </c>
      <c r="B43" s="7">
        <v>5700</v>
      </c>
      <c r="C43" s="6" t="s">
        <v>15</v>
      </c>
      <c r="D43" s="5">
        <v>1550</v>
      </c>
      <c r="E43" s="5">
        <v>389</v>
      </c>
      <c r="F43" s="25">
        <v>3114.8</v>
      </c>
      <c r="G43" s="26"/>
    </row>
    <row r="44" spans="1:7" x14ac:dyDescent="0.2">
      <c r="A44" s="19">
        <v>45869</v>
      </c>
      <c r="B44" s="7">
        <v>5699</v>
      </c>
      <c r="C44" s="6" t="s">
        <v>15</v>
      </c>
      <c r="D44" s="5">
        <v>1550</v>
      </c>
      <c r="E44" s="5">
        <v>389</v>
      </c>
      <c r="F44" s="25">
        <v>2712.66</v>
      </c>
      <c r="G44" s="26"/>
    </row>
    <row r="45" spans="1:7" x14ac:dyDescent="0.2">
      <c r="A45" s="19">
        <v>45873</v>
      </c>
      <c r="B45" s="7">
        <v>5769</v>
      </c>
      <c r="C45" s="6" t="s">
        <v>12</v>
      </c>
      <c r="D45" s="5">
        <v>1550</v>
      </c>
      <c r="E45" s="5">
        <v>389</v>
      </c>
      <c r="F45" s="25">
        <v>16545</v>
      </c>
      <c r="G45" s="26"/>
    </row>
    <row r="46" spans="1:7" x14ac:dyDescent="0.2">
      <c r="A46" s="19"/>
      <c r="B46" s="7"/>
      <c r="C46" s="6"/>
      <c r="D46" s="5"/>
      <c r="E46" s="5"/>
      <c r="F46" s="25"/>
      <c r="G46" s="26"/>
    </row>
    <row r="47" spans="1:7" x14ac:dyDescent="0.2">
      <c r="A47" s="19"/>
      <c r="B47" s="7"/>
      <c r="C47" s="6"/>
      <c r="D47" s="5"/>
      <c r="E47" s="5"/>
      <c r="F47" s="25"/>
      <c r="G47" s="26"/>
    </row>
    <row r="48" spans="1:7" x14ac:dyDescent="0.2">
      <c r="A48" s="19"/>
      <c r="B48" s="7"/>
      <c r="C48" s="6"/>
      <c r="D48" s="5"/>
      <c r="E48" s="5"/>
      <c r="F48" s="25"/>
      <c r="G48" s="26"/>
    </row>
    <row r="49" spans="1:7" x14ac:dyDescent="0.2">
      <c r="A49" s="19"/>
      <c r="B49" s="7"/>
      <c r="C49" s="6"/>
      <c r="D49" s="5"/>
      <c r="E49" s="5"/>
      <c r="F49" s="25"/>
      <c r="G49" s="26"/>
    </row>
    <row r="50" spans="1:7" x14ac:dyDescent="0.2">
      <c r="A50" s="19"/>
      <c r="B50" s="7"/>
      <c r="C50" s="6"/>
      <c r="D50" s="5"/>
      <c r="E50" s="5"/>
      <c r="F50" s="27"/>
      <c r="G50" s="28"/>
    </row>
    <row r="51" spans="1:7" x14ac:dyDescent="0.2">
      <c r="A51" s="19"/>
      <c r="B51" s="7"/>
      <c r="C51" s="6"/>
      <c r="D51" s="5"/>
      <c r="E51" s="5"/>
      <c r="F51" s="27"/>
      <c r="G51" s="28"/>
    </row>
    <row r="52" spans="1:7" x14ac:dyDescent="0.2">
      <c r="A52" s="19"/>
      <c r="B52" s="7"/>
      <c r="C52" s="6"/>
      <c r="D52" s="5"/>
      <c r="E52" s="5"/>
      <c r="F52" s="27"/>
      <c r="G52" s="28"/>
    </row>
    <row r="53" spans="1:7" x14ac:dyDescent="0.2">
      <c r="A53" s="4"/>
      <c r="B53" s="8"/>
      <c r="C53" s="6"/>
      <c r="D53" s="5"/>
      <c r="E53" s="5"/>
      <c r="F53" s="20"/>
      <c r="G53" s="21"/>
    </row>
    <row r="54" spans="1:7" x14ac:dyDescent="0.2">
      <c r="A54" s="4"/>
      <c r="B54" s="8"/>
      <c r="C54" s="6"/>
      <c r="D54" s="5"/>
      <c r="E54" s="5"/>
      <c r="F54" s="22"/>
      <c r="G54" s="23"/>
    </row>
    <row r="55" spans="1:7" x14ac:dyDescent="0.2">
      <c r="A55" s="4"/>
      <c r="B55" s="8"/>
      <c r="C55" s="6"/>
      <c r="D55" s="5"/>
      <c r="E55" s="5"/>
      <c r="F55" s="20"/>
      <c r="G55" s="21"/>
    </row>
    <row r="56" spans="1:7" x14ac:dyDescent="0.2">
      <c r="A56" s="4"/>
      <c r="B56" s="8"/>
      <c r="C56" s="6"/>
      <c r="D56" s="5"/>
      <c r="E56" s="5"/>
      <c r="F56" s="22"/>
      <c r="G56" s="23"/>
    </row>
    <row r="57" spans="1:7" x14ac:dyDescent="0.2">
      <c r="A57" s="4"/>
      <c r="B57" s="8"/>
      <c r="C57" s="6"/>
      <c r="D57" s="5"/>
      <c r="E57" s="5"/>
      <c r="F57" s="20"/>
      <c r="G57" s="21"/>
    </row>
    <row r="58" spans="1:7" x14ac:dyDescent="0.2">
      <c r="A58" s="4"/>
      <c r="B58" s="8"/>
      <c r="C58" s="6"/>
      <c r="D58" s="5"/>
      <c r="E58" s="5"/>
      <c r="F58" s="22"/>
      <c r="G58" s="23"/>
    </row>
    <row r="59" spans="1:7" x14ac:dyDescent="0.2">
      <c r="A59" s="4"/>
      <c r="B59" s="8"/>
      <c r="C59" s="6"/>
      <c r="D59" s="5"/>
      <c r="E59" s="5"/>
      <c r="F59" s="20"/>
      <c r="G59" s="21"/>
    </row>
    <row r="60" spans="1:7" x14ac:dyDescent="0.2">
      <c r="A60" s="4"/>
      <c r="B60" s="8"/>
      <c r="C60" s="6"/>
      <c r="D60" s="5"/>
      <c r="E60" s="5"/>
      <c r="F60" s="22"/>
      <c r="G60" s="23"/>
    </row>
    <row r="61" spans="1:7" x14ac:dyDescent="0.2">
      <c r="A61" s="4"/>
      <c r="B61" s="8"/>
      <c r="C61" s="6"/>
      <c r="D61" s="5"/>
      <c r="E61" s="5"/>
      <c r="F61" s="20"/>
      <c r="G61" s="21"/>
    </row>
    <row r="62" spans="1:7" x14ac:dyDescent="0.2">
      <c r="A62" s="4"/>
      <c r="B62" s="8"/>
      <c r="C62" s="6"/>
      <c r="D62" s="5"/>
      <c r="E62" s="5"/>
      <c r="F62" s="22"/>
      <c r="G62" s="23"/>
    </row>
    <row r="63" spans="1:7" x14ac:dyDescent="0.2">
      <c r="A63" s="4"/>
      <c r="B63" s="8"/>
      <c r="C63" s="6"/>
      <c r="D63" s="5"/>
      <c r="E63" s="5"/>
      <c r="F63" s="10"/>
      <c r="G63" s="14"/>
    </row>
    <row r="64" spans="1:7" x14ac:dyDescent="0.2">
      <c r="A64" s="4"/>
      <c r="B64" s="8"/>
      <c r="C64" s="6"/>
      <c r="D64" s="5"/>
      <c r="E64" s="5"/>
      <c r="F64" s="11"/>
      <c r="G64" s="13"/>
    </row>
    <row r="65" spans="1:7" x14ac:dyDescent="0.2">
      <c r="A65" s="4"/>
      <c r="B65" s="8"/>
      <c r="C65" s="6"/>
      <c r="D65" s="5"/>
      <c r="E65" s="5"/>
      <c r="F65" s="10"/>
      <c r="G65" s="14"/>
    </row>
    <row r="66" spans="1:7" x14ac:dyDescent="0.2">
      <c r="A66" s="4"/>
      <c r="B66" s="8"/>
      <c r="C66" s="6"/>
      <c r="D66" s="5"/>
      <c r="E66" s="5"/>
      <c r="F66" s="11"/>
      <c r="G66" s="13"/>
    </row>
    <row r="67" spans="1:7" x14ac:dyDescent="0.2">
      <c r="A67" s="4"/>
      <c r="B67" s="8"/>
      <c r="C67" s="6"/>
      <c r="D67" s="5"/>
      <c r="E67" s="5"/>
      <c r="F67" s="10"/>
      <c r="G67" s="14"/>
    </row>
    <row r="68" spans="1:7" x14ac:dyDescent="0.2">
      <c r="A68" s="4"/>
      <c r="B68" s="8"/>
      <c r="C68" s="6"/>
      <c r="D68" s="5"/>
      <c r="E68" s="5"/>
      <c r="F68" s="11"/>
      <c r="G68" s="13"/>
    </row>
    <row r="69" spans="1:7" x14ac:dyDescent="0.2">
      <c r="A69" s="4"/>
      <c r="B69" s="8"/>
      <c r="C69" s="6"/>
      <c r="D69" s="5"/>
      <c r="E69" s="5"/>
      <c r="F69" s="10"/>
      <c r="G69" s="14"/>
    </row>
    <row r="70" spans="1:7" x14ac:dyDescent="0.2">
      <c r="A70" s="4"/>
      <c r="B70" s="8"/>
      <c r="C70" s="6"/>
      <c r="D70" s="5"/>
      <c r="E70" s="5"/>
      <c r="F70" s="11"/>
      <c r="G70" s="13"/>
    </row>
    <row r="71" spans="1:7" x14ac:dyDescent="0.2">
      <c r="A71" s="4"/>
      <c r="B71" s="8"/>
      <c r="C71" s="6"/>
      <c r="D71" s="5"/>
      <c r="E71" s="5"/>
      <c r="F71" s="10"/>
      <c r="G71" s="14"/>
    </row>
    <row r="72" spans="1:7" x14ac:dyDescent="0.2">
      <c r="A72" s="4"/>
      <c r="B72" s="8"/>
      <c r="C72" s="6"/>
      <c r="D72" s="5"/>
      <c r="E72" s="5"/>
      <c r="F72" s="11"/>
      <c r="G72" s="13"/>
    </row>
    <row r="73" spans="1:7" x14ac:dyDescent="0.2">
      <c r="A73" s="4"/>
      <c r="B73" s="8"/>
      <c r="C73" s="6"/>
      <c r="D73" s="5"/>
      <c r="E73" s="5"/>
      <c r="F73" s="10"/>
      <c r="G73" s="14"/>
    </row>
    <row r="74" spans="1:7" x14ac:dyDescent="0.2">
      <c r="A74" s="4"/>
      <c r="B74" s="8"/>
      <c r="C74" s="6"/>
      <c r="D74" s="5"/>
      <c r="E74" s="5"/>
      <c r="F74" s="11"/>
      <c r="G74" s="13"/>
    </row>
    <row r="75" spans="1:7" x14ac:dyDescent="0.2">
      <c r="A75" s="4"/>
      <c r="B75" s="8"/>
      <c r="C75" s="6"/>
      <c r="D75" s="5"/>
      <c r="E75" s="5"/>
      <c r="F75" s="10"/>
      <c r="G75" s="14"/>
    </row>
    <row r="76" spans="1:7" x14ac:dyDescent="0.2">
      <c r="A76" s="4"/>
      <c r="B76" s="8"/>
      <c r="C76" s="6"/>
      <c r="D76" s="5"/>
      <c r="E76" s="5"/>
      <c r="F76" s="11"/>
      <c r="G76" s="13"/>
    </row>
    <row r="77" spans="1:7" ht="13.5" thickBot="1" x14ac:dyDescent="0.25">
      <c r="A77" s="4"/>
      <c r="B77" s="8"/>
      <c r="C77" s="6"/>
      <c r="D77" s="5"/>
      <c r="E77" s="5"/>
      <c r="F77" s="15"/>
      <c r="G77" s="16"/>
    </row>
    <row r="78" spans="1:7" ht="15" thickBot="1" x14ac:dyDescent="0.25">
      <c r="F78" s="17">
        <f>SUM(F4:F77)</f>
        <v>245200.65000000005</v>
      </c>
      <c r="G78" s="18">
        <f>SUM(G49:G77)</f>
        <v>0</v>
      </c>
    </row>
    <row r="79" spans="1:7" x14ac:dyDescent="0.2">
      <c r="G79" s="2"/>
    </row>
    <row r="80" spans="1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</sheetData>
  <mergeCells count="3">
    <mergeCell ref="A1:A2"/>
    <mergeCell ref="B1:E2"/>
    <mergeCell ref="F1:G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9"/>
  <sheetViews>
    <sheetView topLeftCell="A23" workbookViewId="0">
      <selection activeCell="F47" sqref="F47"/>
    </sheetView>
  </sheetViews>
  <sheetFormatPr defaultColWidth="63.83203125" defaultRowHeight="12.75" x14ac:dyDescent="0.2"/>
  <cols>
    <col min="1" max="1" width="13.33203125" bestFit="1" customWidth="1"/>
    <col min="2" max="2" width="13.5" bestFit="1" customWidth="1"/>
    <col min="3" max="3" width="71.33203125" bestFit="1" customWidth="1"/>
    <col min="4" max="4" width="11.5" style="1" customWidth="1"/>
    <col min="5" max="5" width="12.83203125" customWidth="1"/>
    <col min="6" max="6" width="18.33203125" bestFit="1" customWidth="1"/>
    <col min="7" max="7" width="16.5" bestFit="1" customWidth="1"/>
    <col min="9" max="9" width="13.33203125" bestFit="1" customWidth="1"/>
  </cols>
  <sheetData>
    <row r="1" spans="1:7" ht="22.5" customHeight="1" x14ac:dyDescent="0.2">
      <c r="A1" s="29"/>
      <c r="B1" s="31" t="s">
        <v>7</v>
      </c>
      <c r="C1" s="32"/>
      <c r="D1" s="32"/>
      <c r="E1" s="33"/>
      <c r="F1" s="31" t="s">
        <v>8</v>
      </c>
      <c r="G1" s="32"/>
    </row>
    <row r="2" spans="1:7" ht="22.5" customHeight="1" x14ac:dyDescent="0.2">
      <c r="A2" s="30"/>
      <c r="B2" s="34"/>
      <c r="C2" s="35"/>
      <c r="D2" s="35"/>
      <c r="E2" s="36"/>
      <c r="F2" s="34"/>
      <c r="G2" s="35"/>
    </row>
    <row r="3" spans="1:7" ht="14.25" x14ac:dyDescent="0.2">
      <c r="A3" s="3" t="s">
        <v>0</v>
      </c>
      <c r="B3" s="3" t="s">
        <v>5</v>
      </c>
      <c r="C3" s="3" t="s">
        <v>1</v>
      </c>
      <c r="D3" s="3" t="s">
        <v>2</v>
      </c>
      <c r="E3" s="3" t="s">
        <v>4</v>
      </c>
      <c r="F3" s="9" t="s">
        <v>3</v>
      </c>
      <c r="G3" s="12" t="s">
        <v>6</v>
      </c>
    </row>
    <row r="4" spans="1:7" ht="15.75" customHeight="1" x14ac:dyDescent="0.2">
      <c r="A4" s="19">
        <v>45688</v>
      </c>
      <c r="B4" s="7">
        <v>1128</v>
      </c>
      <c r="C4" s="6" t="s">
        <v>13</v>
      </c>
      <c r="D4" s="5">
        <v>1550</v>
      </c>
      <c r="E4" s="5">
        <v>444</v>
      </c>
      <c r="F4" s="25">
        <v>4786.13</v>
      </c>
      <c r="G4" s="24"/>
    </row>
    <row r="5" spans="1:7" x14ac:dyDescent="0.2">
      <c r="A5" s="19">
        <v>45700</v>
      </c>
      <c r="B5" s="7">
        <v>1285</v>
      </c>
      <c r="C5" s="6" t="s">
        <v>14</v>
      </c>
      <c r="D5" s="5">
        <v>1550</v>
      </c>
      <c r="E5" s="5">
        <v>444</v>
      </c>
      <c r="F5" s="25">
        <v>7760</v>
      </c>
      <c r="G5" s="24"/>
    </row>
    <row r="6" spans="1:7" x14ac:dyDescent="0.2">
      <c r="A6" s="19">
        <v>45706</v>
      </c>
      <c r="B6" s="7">
        <v>1396</v>
      </c>
      <c r="C6" s="6" t="s">
        <v>11</v>
      </c>
      <c r="D6" s="5">
        <v>1550</v>
      </c>
      <c r="E6" s="5">
        <v>444</v>
      </c>
      <c r="F6" s="25">
        <v>18168.23</v>
      </c>
      <c r="G6" s="24"/>
    </row>
    <row r="7" spans="1:7" x14ac:dyDescent="0.2">
      <c r="A7" s="19">
        <v>45709</v>
      </c>
      <c r="B7" s="7">
        <v>1447</v>
      </c>
      <c r="C7" s="6" t="s">
        <v>11</v>
      </c>
      <c r="D7" s="5">
        <v>1550</v>
      </c>
      <c r="E7" s="5">
        <v>444</v>
      </c>
      <c r="F7" s="25">
        <v>4213.8999999999996</v>
      </c>
      <c r="G7" s="24"/>
    </row>
    <row r="8" spans="1:7" x14ac:dyDescent="0.2">
      <c r="A8" s="19">
        <v>45709</v>
      </c>
      <c r="B8" s="7">
        <v>1446</v>
      </c>
      <c r="C8" s="6" t="s">
        <v>11</v>
      </c>
      <c r="D8" s="5">
        <v>1550</v>
      </c>
      <c r="E8" s="5">
        <v>444</v>
      </c>
      <c r="F8" s="25">
        <v>4910.67</v>
      </c>
      <c r="G8" s="24"/>
    </row>
    <row r="9" spans="1:7" x14ac:dyDescent="0.2">
      <c r="A9" s="19">
        <v>45709</v>
      </c>
      <c r="B9" s="7">
        <v>1448</v>
      </c>
      <c r="C9" s="6" t="s">
        <v>11</v>
      </c>
      <c r="D9" s="5">
        <v>1550</v>
      </c>
      <c r="E9" s="5">
        <v>444</v>
      </c>
      <c r="F9" s="25">
        <v>3199.38</v>
      </c>
      <c r="G9" s="24"/>
    </row>
    <row r="10" spans="1:7" x14ac:dyDescent="0.2">
      <c r="A10" s="19">
        <v>45709</v>
      </c>
      <c r="B10" s="7">
        <v>1445</v>
      </c>
      <c r="C10" s="6" t="s">
        <v>11</v>
      </c>
      <c r="D10" s="5">
        <v>1550</v>
      </c>
      <c r="E10" s="5">
        <v>444</v>
      </c>
      <c r="F10" s="25">
        <v>1256.28</v>
      </c>
      <c r="G10" s="24"/>
    </row>
    <row r="11" spans="1:7" x14ac:dyDescent="0.2">
      <c r="A11" s="19">
        <v>45719</v>
      </c>
      <c r="B11" s="7">
        <v>1807</v>
      </c>
      <c r="C11" s="6" t="s">
        <v>13</v>
      </c>
      <c r="D11" s="5">
        <v>1550</v>
      </c>
      <c r="E11" s="5">
        <v>444</v>
      </c>
      <c r="F11" s="25">
        <v>5635.63</v>
      </c>
      <c r="G11" s="24"/>
    </row>
    <row r="12" spans="1:7" x14ac:dyDescent="0.2">
      <c r="A12" s="19">
        <v>45737</v>
      </c>
      <c r="B12" s="7">
        <v>2021</v>
      </c>
      <c r="C12" s="6" t="s">
        <v>11</v>
      </c>
      <c r="D12" s="5">
        <v>1550</v>
      </c>
      <c r="E12" s="5">
        <v>444</v>
      </c>
      <c r="F12" s="25">
        <v>6086.17</v>
      </c>
      <c r="G12" s="24"/>
    </row>
    <row r="13" spans="1:7" x14ac:dyDescent="0.2">
      <c r="A13" s="19">
        <v>45737</v>
      </c>
      <c r="B13" s="7">
        <v>2022</v>
      </c>
      <c r="C13" s="6" t="s">
        <v>11</v>
      </c>
      <c r="D13" s="5">
        <v>1550</v>
      </c>
      <c r="E13" s="5">
        <v>444</v>
      </c>
      <c r="F13" s="25">
        <v>4516.6400000000003</v>
      </c>
      <c r="G13" s="24"/>
    </row>
    <row r="14" spans="1:7" x14ac:dyDescent="0.2">
      <c r="A14" s="19">
        <v>45737</v>
      </c>
      <c r="B14" s="7">
        <v>2019</v>
      </c>
      <c r="C14" s="6" t="s">
        <v>11</v>
      </c>
      <c r="D14" s="5">
        <v>1550</v>
      </c>
      <c r="E14" s="5">
        <v>444</v>
      </c>
      <c r="F14" s="25">
        <v>3062.74</v>
      </c>
      <c r="G14" s="24"/>
    </row>
    <row r="15" spans="1:7" x14ac:dyDescent="0.2">
      <c r="A15" s="19">
        <v>45737</v>
      </c>
      <c r="B15" s="7">
        <v>2020</v>
      </c>
      <c r="C15" s="6" t="s">
        <v>11</v>
      </c>
      <c r="D15" s="5">
        <v>1550</v>
      </c>
      <c r="E15" s="5">
        <v>444</v>
      </c>
      <c r="F15" s="25">
        <v>4636.91</v>
      </c>
      <c r="G15" s="24"/>
    </row>
    <row r="16" spans="1:7" x14ac:dyDescent="0.2">
      <c r="A16" s="19">
        <v>45742</v>
      </c>
      <c r="B16" s="7">
        <v>2080</v>
      </c>
      <c r="C16" s="6" t="s">
        <v>13</v>
      </c>
      <c r="D16" s="5">
        <v>1550</v>
      </c>
      <c r="E16" s="5">
        <v>444</v>
      </c>
      <c r="F16" s="25">
        <v>6469.05</v>
      </c>
      <c r="G16" s="24"/>
    </row>
    <row r="17" spans="1:7" x14ac:dyDescent="0.2">
      <c r="A17" s="19">
        <v>45747</v>
      </c>
      <c r="B17" s="7">
        <v>2373</v>
      </c>
      <c r="C17" s="6" t="s">
        <v>11</v>
      </c>
      <c r="D17" s="5">
        <v>1550</v>
      </c>
      <c r="E17" s="5">
        <v>444</v>
      </c>
      <c r="F17" s="25">
        <v>736.35</v>
      </c>
      <c r="G17" s="24"/>
    </row>
    <row r="18" spans="1:7" x14ac:dyDescent="0.2">
      <c r="A18" s="19">
        <v>45769</v>
      </c>
      <c r="B18" s="7">
        <v>2746</v>
      </c>
      <c r="C18" s="6" t="s">
        <v>11</v>
      </c>
      <c r="D18" s="5">
        <v>1550</v>
      </c>
      <c r="E18" s="5">
        <v>444</v>
      </c>
      <c r="F18" s="25">
        <v>4842.38</v>
      </c>
      <c r="G18" s="24"/>
    </row>
    <row r="19" spans="1:7" x14ac:dyDescent="0.2">
      <c r="A19" s="19">
        <v>45769</v>
      </c>
      <c r="B19" s="7">
        <v>2754</v>
      </c>
      <c r="C19" s="6" t="s">
        <v>13</v>
      </c>
      <c r="D19" s="5">
        <v>1550</v>
      </c>
      <c r="E19" s="5">
        <v>444</v>
      </c>
      <c r="F19" s="25">
        <v>7155.17</v>
      </c>
      <c r="G19" s="24"/>
    </row>
    <row r="20" spans="1:7" x14ac:dyDescent="0.2">
      <c r="A20" s="19">
        <v>45769</v>
      </c>
      <c r="B20" s="7">
        <v>2753</v>
      </c>
      <c r="C20" s="6" t="s">
        <v>11</v>
      </c>
      <c r="D20" s="5">
        <v>1550</v>
      </c>
      <c r="E20" s="5">
        <v>444</v>
      </c>
      <c r="F20" s="25">
        <v>929.47</v>
      </c>
      <c r="G20" s="24"/>
    </row>
    <row r="21" spans="1:7" x14ac:dyDescent="0.2">
      <c r="A21" s="19">
        <v>45769</v>
      </c>
      <c r="B21" s="7">
        <v>2747</v>
      </c>
      <c r="C21" s="6" t="s">
        <v>11</v>
      </c>
      <c r="D21" s="5">
        <v>1550</v>
      </c>
      <c r="E21" s="5">
        <v>444</v>
      </c>
      <c r="F21" s="25">
        <v>2953.05</v>
      </c>
      <c r="G21" s="24"/>
    </row>
    <row r="22" spans="1:7" x14ac:dyDescent="0.2">
      <c r="A22" s="19">
        <v>45769</v>
      </c>
      <c r="B22" s="7">
        <v>2745</v>
      </c>
      <c r="C22" s="6" t="s">
        <v>11</v>
      </c>
      <c r="D22" s="5">
        <v>1550</v>
      </c>
      <c r="E22" s="5">
        <v>444</v>
      </c>
      <c r="F22" s="25">
        <v>7278.94</v>
      </c>
      <c r="G22" s="24"/>
    </row>
    <row r="23" spans="1:7" x14ac:dyDescent="0.2">
      <c r="A23" s="19">
        <v>45769</v>
      </c>
      <c r="B23" s="7">
        <v>2744</v>
      </c>
      <c r="C23" s="6" t="s">
        <v>11</v>
      </c>
      <c r="D23" s="5">
        <v>1550</v>
      </c>
      <c r="E23" s="5">
        <v>444</v>
      </c>
      <c r="F23" s="25">
        <v>1934.04</v>
      </c>
      <c r="G23" s="24"/>
    </row>
    <row r="24" spans="1:7" x14ac:dyDescent="0.2">
      <c r="A24" s="19">
        <v>45797</v>
      </c>
      <c r="B24" s="7">
        <v>3422</v>
      </c>
      <c r="C24" s="6" t="s">
        <v>11</v>
      </c>
      <c r="D24" s="5">
        <v>1550</v>
      </c>
      <c r="E24" s="5">
        <v>444</v>
      </c>
      <c r="F24" s="25">
        <v>1096.8800000000001</v>
      </c>
      <c r="G24" s="24"/>
    </row>
    <row r="25" spans="1:7" x14ac:dyDescent="0.2">
      <c r="A25" s="19">
        <v>45797</v>
      </c>
      <c r="B25" s="7">
        <v>3424</v>
      </c>
      <c r="C25" s="6" t="s">
        <v>11</v>
      </c>
      <c r="D25" s="5">
        <v>1550</v>
      </c>
      <c r="E25" s="5">
        <v>444</v>
      </c>
      <c r="F25" s="25">
        <v>3398.76</v>
      </c>
      <c r="G25" s="24"/>
    </row>
    <row r="26" spans="1:7" x14ac:dyDescent="0.2">
      <c r="A26" s="19">
        <v>45797</v>
      </c>
      <c r="B26" s="7">
        <v>3425</v>
      </c>
      <c r="C26" s="6" t="s">
        <v>11</v>
      </c>
      <c r="D26" s="5">
        <v>1550</v>
      </c>
      <c r="E26" s="5">
        <v>444</v>
      </c>
      <c r="F26" s="25">
        <v>3234.69</v>
      </c>
      <c r="G26" s="24"/>
    </row>
    <row r="27" spans="1:7" x14ac:dyDescent="0.2">
      <c r="A27" s="19">
        <v>45797</v>
      </c>
      <c r="B27" s="7">
        <v>3423</v>
      </c>
      <c r="C27" s="6" t="s">
        <v>11</v>
      </c>
      <c r="D27" s="5">
        <v>1550</v>
      </c>
      <c r="E27" s="5">
        <v>444</v>
      </c>
      <c r="F27" s="25">
        <v>4294.46</v>
      </c>
      <c r="G27" s="24"/>
    </row>
    <row r="28" spans="1:7" x14ac:dyDescent="0.2">
      <c r="A28" s="19">
        <v>45804</v>
      </c>
      <c r="B28" s="7">
        <v>3578</v>
      </c>
      <c r="C28" s="6" t="s">
        <v>13</v>
      </c>
      <c r="D28" s="5">
        <v>1550</v>
      </c>
      <c r="E28" s="5">
        <v>444</v>
      </c>
      <c r="F28" s="25">
        <v>7457.54</v>
      </c>
      <c r="G28" s="24"/>
    </row>
    <row r="29" spans="1:7" x14ac:dyDescent="0.2">
      <c r="A29" s="19">
        <v>45810</v>
      </c>
      <c r="B29" s="7">
        <v>3954</v>
      </c>
      <c r="C29" s="6" t="s">
        <v>11</v>
      </c>
      <c r="D29" s="5">
        <v>1550</v>
      </c>
      <c r="E29" s="5">
        <v>444</v>
      </c>
      <c r="F29" s="25">
        <v>1725.96</v>
      </c>
      <c r="G29" s="24"/>
    </row>
    <row r="30" spans="1:7" x14ac:dyDescent="0.2">
      <c r="A30" s="19">
        <v>45814</v>
      </c>
      <c r="B30" s="7">
        <v>4043</v>
      </c>
      <c r="C30" s="6" t="s">
        <v>14</v>
      </c>
      <c r="D30" s="5">
        <v>1550</v>
      </c>
      <c r="E30" s="5">
        <v>444</v>
      </c>
      <c r="F30" s="25">
        <v>7628.41</v>
      </c>
      <c r="G30" s="24"/>
    </row>
    <row r="31" spans="1:7" x14ac:dyDescent="0.2">
      <c r="A31" s="19">
        <v>45831</v>
      </c>
      <c r="B31" s="7">
        <v>4295</v>
      </c>
      <c r="C31" s="6" t="s">
        <v>11</v>
      </c>
      <c r="D31" s="5">
        <v>1550</v>
      </c>
      <c r="E31" s="5">
        <v>444</v>
      </c>
      <c r="F31" s="25">
        <v>1202.8800000000001</v>
      </c>
      <c r="G31" s="24"/>
    </row>
    <row r="32" spans="1:7" x14ac:dyDescent="0.2">
      <c r="A32" s="19">
        <v>45831</v>
      </c>
      <c r="B32" s="7">
        <v>4297</v>
      </c>
      <c r="C32" s="6" t="s">
        <v>11</v>
      </c>
      <c r="D32" s="5">
        <v>1550</v>
      </c>
      <c r="E32" s="5">
        <v>444</v>
      </c>
      <c r="F32" s="25">
        <v>1888.84</v>
      </c>
      <c r="G32" s="24"/>
    </row>
    <row r="33" spans="1:7" x14ac:dyDescent="0.2">
      <c r="A33" s="19">
        <v>45831</v>
      </c>
      <c r="B33" s="7">
        <v>4294</v>
      </c>
      <c r="C33" s="6" t="s">
        <v>11</v>
      </c>
      <c r="D33" s="5">
        <v>1550</v>
      </c>
      <c r="E33" s="5">
        <v>444</v>
      </c>
      <c r="F33" s="25">
        <v>492.19</v>
      </c>
      <c r="G33" s="24"/>
    </row>
    <row r="34" spans="1:7" x14ac:dyDescent="0.2">
      <c r="A34" s="19">
        <v>45831</v>
      </c>
      <c r="B34" s="7">
        <v>4296</v>
      </c>
      <c r="C34" s="6" t="s">
        <v>11</v>
      </c>
      <c r="D34" s="5">
        <v>1550</v>
      </c>
      <c r="E34" s="5">
        <v>444</v>
      </c>
      <c r="F34" s="25">
        <v>1901.65</v>
      </c>
      <c r="G34" s="24"/>
    </row>
    <row r="35" spans="1:7" x14ac:dyDescent="0.2">
      <c r="A35" s="19">
        <v>45835</v>
      </c>
      <c r="B35" s="7">
        <v>4670</v>
      </c>
      <c r="C35" s="6" t="s">
        <v>13</v>
      </c>
      <c r="D35" s="5">
        <v>1550</v>
      </c>
      <c r="E35" s="5">
        <v>444</v>
      </c>
      <c r="F35" s="25">
        <v>5014.3900000000003</v>
      </c>
      <c r="G35" s="24"/>
    </row>
    <row r="36" spans="1:7" x14ac:dyDescent="0.2">
      <c r="A36" s="19">
        <v>45842</v>
      </c>
      <c r="B36" s="7">
        <v>4789</v>
      </c>
      <c r="C36" s="6" t="s">
        <v>11</v>
      </c>
      <c r="D36" s="5">
        <v>1550</v>
      </c>
      <c r="E36" s="5">
        <v>444</v>
      </c>
      <c r="F36" s="25">
        <v>3856.03</v>
      </c>
      <c r="G36" s="24"/>
    </row>
    <row r="37" spans="1:7" x14ac:dyDescent="0.2">
      <c r="A37" s="19">
        <v>45842</v>
      </c>
      <c r="B37" s="7">
        <v>4784</v>
      </c>
      <c r="C37" s="6" t="s">
        <v>11</v>
      </c>
      <c r="D37" s="5">
        <v>1550</v>
      </c>
      <c r="E37" s="5">
        <v>444</v>
      </c>
      <c r="F37" s="25">
        <v>10857.53</v>
      </c>
      <c r="G37" s="26"/>
    </row>
    <row r="38" spans="1:7" x14ac:dyDescent="0.2">
      <c r="A38" s="19">
        <v>45860</v>
      </c>
      <c r="B38" s="7">
        <v>5306</v>
      </c>
      <c r="C38" s="6" t="s">
        <v>11</v>
      </c>
      <c r="D38" s="5">
        <v>1550</v>
      </c>
      <c r="E38" s="5">
        <v>444</v>
      </c>
      <c r="F38" s="25">
        <v>664.6</v>
      </c>
      <c r="G38" s="26"/>
    </row>
    <row r="39" spans="1:7" x14ac:dyDescent="0.2">
      <c r="A39" s="19">
        <v>45862</v>
      </c>
      <c r="B39" s="7">
        <v>5305</v>
      </c>
      <c r="C39" s="6" t="s">
        <v>11</v>
      </c>
      <c r="D39" s="5">
        <v>1550</v>
      </c>
      <c r="E39" s="5">
        <v>444</v>
      </c>
      <c r="F39" s="25">
        <v>1419.8</v>
      </c>
      <c r="G39" s="26"/>
    </row>
    <row r="40" spans="1:7" x14ac:dyDescent="0.2">
      <c r="A40" s="19">
        <v>45862</v>
      </c>
      <c r="B40" s="7">
        <v>5303</v>
      </c>
      <c r="C40" s="6" t="s">
        <v>11</v>
      </c>
      <c r="D40" s="5">
        <v>1550</v>
      </c>
      <c r="E40" s="5">
        <v>444</v>
      </c>
      <c r="F40" s="25">
        <v>530.29999999999995</v>
      </c>
      <c r="G40" s="26"/>
    </row>
    <row r="41" spans="1:7" x14ac:dyDescent="0.2">
      <c r="A41" s="19">
        <v>45862</v>
      </c>
      <c r="B41" s="7">
        <v>5304</v>
      </c>
      <c r="C41" s="6" t="s">
        <v>11</v>
      </c>
      <c r="D41" s="5">
        <v>1550</v>
      </c>
      <c r="E41" s="5">
        <v>444</v>
      </c>
      <c r="F41" s="25">
        <v>1331.9</v>
      </c>
      <c r="G41" s="26"/>
    </row>
    <row r="42" spans="1:7" x14ac:dyDescent="0.2">
      <c r="A42" s="19">
        <v>45869</v>
      </c>
      <c r="B42" s="7">
        <v>5693</v>
      </c>
      <c r="C42" s="6" t="s">
        <v>15</v>
      </c>
      <c r="D42" s="5">
        <v>1550</v>
      </c>
      <c r="E42" s="5">
        <v>444</v>
      </c>
      <c r="F42" s="25">
        <v>2240.1799999999998</v>
      </c>
      <c r="G42" s="26"/>
    </row>
    <row r="43" spans="1:7" x14ac:dyDescent="0.2">
      <c r="A43" s="19">
        <v>45869</v>
      </c>
      <c r="B43" s="7">
        <v>5695</v>
      </c>
      <c r="C43" s="6" t="s">
        <v>15</v>
      </c>
      <c r="D43" s="5">
        <v>1550</v>
      </c>
      <c r="E43" s="5">
        <v>444</v>
      </c>
      <c r="F43" s="25">
        <v>5565.2</v>
      </c>
      <c r="G43" s="26"/>
    </row>
    <row r="44" spans="1:7" x14ac:dyDescent="0.2">
      <c r="A44" s="19">
        <v>45869</v>
      </c>
      <c r="B44" s="7">
        <v>5696</v>
      </c>
      <c r="C44" s="6" t="s">
        <v>15</v>
      </c>
      <c r="D44" s="5">
        <v>1550</v>
      </c>
      <c r="E44" s="5">
        <v>444</v>
      </c>
      <c r="F44" s="25">
        <v>4043.52</v>
      </c>
      <c r="G44" s="26"/>
    </row>
    <row r="45" spans="1:7" x14ac:dyDescent="0.2">
      <c r="A45" s="19">
        <v>45869</v>
      </c>
      <c r="B45" s="7">
        <v>5694</v>
      </c>
      <c r="C45" s="6" t="s">
        <v>15</v>
      </c>
      <c r="D45" s="5">
        <v>1550</v>
      </c>
      <c r="E45" s="5">
        <v>444</v>
      </c>
      <c r="F45" s="25">
        <v>5674.51</v>
      </c>
      <c r="G45" s="26"/>
    </row>
    <row r="46" spans="1:7" x14ac:dyDescent="0.2">
      <c r="A46" s="19">
        <v>45873</v>
      </c>
      <c r="B46" s="7">
        <v>5767</v>
      </c>
      <c r="C46" s="6" t="s">
        <v>14</v>
      </c>
      <c r="D46" s="5">
        <v>1550</v>
      </c>
      <c r="E46" s="5">
        <v>444</v>
      </c>
      <c r="F46" s="25">
        <v>10784</v>
      </c>
      <c r="G46" s="26"/>
    </row>
    <row r="47" spans="1:7" x14ac:dyDescent="0.2">
      <c r="A47" s="19"/>
      <c r="B47" s="7"/>
      <c r="C47" s="6"/>
      <c r="D47" s="5"/>
      <c r="E47" s="5"/>
      <c r="F47" s="25"/>
      <c r="G47" s="26"/>
    </row>
    <row r="48" spans="1:7" x14ac:dyDescent="0.2">
      <c r="A48" s="19"/>
      <c r="B48" s="7"/>
      <c r="C48" s="6"/>
      <c r="D48" s="5"/>
      <c r="E48" s="5"/>
      <c r="F48" s="25"/>
      <c r="G48" s="26"/>
    </row>
    <row r="49" spans="1:7" x14ac:dyDescent="0.2">
      <c r="A49" s="19"/>
      <c r="B49" s="7"/>
      <c r="C49" s="6"/>
      <c r="D49" s="5"/>
      <c r="E49" s="5"/>
      <c r="F49" s="25"/>
      <c r="G49" s="26"/>
    </row>
    <row r="50" spans="1:7" x14ac:dyDescent="0.2">
      <c r="A50" s="19"/>
      <c r="B50" s="7"/>
      <c r="C50" s="6"/>
      <c r="D50" s="5"/>
      <c r="E50" s="5"/>
      <c r="F50" s="27"/>
      <c r="G50" s="28"/>
    </row>
    <row r="51" spans="1:7" x14ac:dyDescent="0.2">
      <c r="A51" s="19"/>
      <c r="B51" s="7"/>
      <c r="C51" s="6"/>
      <c r="D51" s="5"/>
      <c r="E51" s="5"/>
      <c r="F51" s="27"/>
      <c r="G51" s="28"/>
    </row>
    <row r="52" spans="1:7" x14ac:dyDescent="0.2">
      <c r="A52" s="19"/>
      <c r="B52" s="7"/>
      <c r="C52" s="6"/>
      <c r="D52" s="5"/>
      <c r="E52" s="5"/>
      <c r="F52" s="27"/>
      <c r="G52" s="28"/>
    </row>
    <row r="53" spans="1:7" x14ac:dyDescent="0.2">
      <c r="A53" s="4"/>
      <c r="B53" s="8"/>
      <c r="C53" s="6"/>
      <c r="D53" s="5"/>
      <c r="E53" s="5"/>
      <c r="F53" s="20"/>
      <c r="G53" s="21"/>
    </row>
    <row r="54" spans="1:7" x14ac:dyDescent="0.2">
      <c r="A54" s="4"/>
      <c r="B54" s="8"/>
      <c r="C54" s="6"/>
      <c r="D54" s="5"/>
      <c r="E54" s="5"/>
      <c r="F54" s="22"/>
      <c r="G54" s="23"/>
    </row>
    <row r="55" spans="1:7" x14ac:dyDescent="0.2">
      <c r="A55" s="4"/>
      <c r="B55" s="8"/>
      <c r="C55" s="6"/>
      <c r="D55" s="5"/>
      <c r="E55" s="5"/>
      <c r="F55" s="20"/>
      <c r="G55" s="21"/>
    </row>
    <row r="56" spans="1:7" x14ac:dyDescent="0.2">
      <c r="A56" s="4"/>
      <c r="B56" s="8"/>
      <c r="C56" s="6"/>
      <c r="D56" s="5"/>
      <c r="E56" s="5"/>
      <c r="F56" s="22"/>
      <c r="G56" s="23"/>
    </row>
    <row r="57" spans="1:7" x14ac:dyDescent="0.2">
      <c r="A57" s="4"/>
      <c r="B57" s="8"/>
      <c r="C57" s="6"/>
      <c r="D57" s="5"/>
      <c r="E57" s="5"/>
      <c r="F57" s="20"/>
      <c r="G57" s="21"/>
    </row>
    <row r="58" spans="1:7" x14ac:dyDescent="0.2">
      <c r="A58" s="4"/>
      <c r="B58" s="8"/>
      <c r="C58" s="6"/>
      <c r="D58" s="5"/>
      <c r="E58" s="5"/>
      <c r="F58" s="22"/>
      <c r="G58" s="23"/>
    </row>
    <row r="59" spans="1:7" x14ac:dyDescent="0.2">
      <c r="A59" s="4"/>
      <c r="B59" s="8"/>
      <c r="C59" s="6"/>
      <c r="D59" s="5"/>
      <c r="E59" s="5"/>
      <c r="F59" s="20"/>
      <c r="G59" s="21"/>
    </row>
    <row r="60" spans="1:7" x14ac:dyDescent="0.2">
      <c r="A60" s="4"/>
      <c r="B60" s="8"/>
      <c r="C60" s="6"/>
      <c r="D60" s="5"/>
      <c r="E60" s="5"/>
      <c r="F60" s="22"/>
      <c r="G60" s="23"/>
    </row>
    <row r="61" spans="1:7" x14ac:dyDescent="0.2">
      <c r="A61" s="4"/>
      <c r="B61" s="8"/>
      <c r="C61" s="6"/>
      <c r="D61" s="5"/>
      <c r="E61" s="5"/>
      <c r="F61" s="20"/>
      <c r="G61" s="21"/>
    </row>
    <row r="62" spans="1:7" x14ac:dyDescent="0.2">
      <c r="A62" s="4"/>
      <c r="B62" s="8"/>
      <c r="C62" s="6"/>
      <c r="D62" s="5"/>
      <c r="E62" s="5"/>
      <c r="F62" s="22"/>
      <c r="G62" s="23"/>
    </row>
    <row r="63" spans="1:7" x14ac:dyDescent="0.2">
      <c r="A63" s="4"/>
      <c r="B63" s="8"/>
      <c r="C63" s="6"/>
      <c r="D63" s="5"/>
      <c r="E63" s="5"/>
      <c r="F63" s="10"/>
      <c r="G63" s="14"/>
    </row>
    <row r="64" spans="1:7" x14ac:dyDescent="0.2">
      <c r="A64" s="4"/>
      <c r="B64" s="8"/>
      <c r="C64" s="6"/>
      <c r="D64" s="5"/>
      <c r="E64" s="5"/>
      <c r="F64" s="11"/>
      <c r="G64" s="13"/>
    </row>
    <row r="65" spans="1:7" x14ac:dyDescent="0.2">
      <c r="A65" s="4"/>
      <c r="B65" s="8"/>
      <c r="C65" s="6"/>
      <c r="D65" s="5"/>
      <c r="E65" s="5"/>
      <c r="F65" s="10"/>
      <c r="G65" s="14"/>
    </row>
    <row r="66" spans="1:7" x14ac:dyDescent="0.2">
      <c r="A66" s="4"/>
      <c r="B66" s="8"/>
      <c r="C66" s="6"/>
      <c r="D66" s="5"/>
      <c r="E66" s="5"/>
      <c r="F66" s="11"/>
      <c r="G66" s="13"/>
    </row>
    <row r="67" spans="1:7" x14ac:dyDescent="0.2">
      <c r="A67" s="4"/>
      <c r="B67" s="8"/>
      <c r="C67" s="6"/>
      <c r="D67" s="5"/>
      <c r="E67" s="5"/>
      <c r="F67" s="10"/>
      <c r="G67" s="14"/>
    </row>
    <row r="68" spans="1:7" x14ac:dyDescent="0.2">
      <c r="A68" s="4"/>
      <c r="B68" s="8"/>
      <c r="C68" s="6"/>
      <c r="D68" s="5"/>
      <c r="E68" s="5"/>
      <c r="F68" s="11"/>
      <c r="G68" s="13"/>
    </row>
    <row r="69" spans="1:7" x14ac:dyDescent="0.2">
      <c r="A69" s="4"/>
      <c r="B69" s="8"/>
      <c r="C69" s="6"/>
      <c r="D69" s="5"/>
      <c r="E69" s="5"/>
      <c r="F69" s="10"/>
      <c r="G69" s="14"/>
    </row>
    <row r="70" spans="1:7" x14ac:dyDescent="0.2">
      <c r="A70" s="4"/>
      <c r="B70" s="8"/>
      <c r="C70" s="6"/>
      <c r="D70" s="5"/>
      <c r="E70" s="5"/>
      <c r="F70" s="11"/>
      <c r="G70" s="13"/>
    </row>
    <row r="71" spans="1:7" x14ac:dyDescent="0.2">
      <c r="A71" s="4"/>
      <c r="B71" s="8"/>
      <c r="C71" s="6"/>
      <c r="D71" s="5"/>
      <c r="E71" s="5"/>
      <c r="F71" s="10"/>
      <c r="G71" s="14"/>
    </row>
    <row r="72" spans="1:7" x14ac:dyDescent="0.2">
      <c r="A72" s="4"/>
      <c r="B72" s="8"/>
      <c r="C72" s="6"/>
      <c r="D72" s="5"/>
      <c r="E72" s="5"/>
      <c r="F72" s="11"/>
      <c r="G72" s="13"/>
    </row>
    <row r="73" spans="1:7" x14ac:dyDescent="0.2">
      <c r="A73" s="4"/>
      <c r="B73" s="8"/>
      <c r="C73" s="6"/>
      <c r="D73" s="5"/>
      <c r="E73" s="5"/>
      <c r="F73" s="10"/>
      <c r="G73" s="14"/>
    </row>
    <row r="74" spans="1:7" x14ac:dyDescent="0.2">
      <c r="A74" s="4"/>
      <c r="B74" s="8"/>
      <c r="C74" s="6"/>
      <c r="D74" s="5"/>
      <c r="E74" s="5"/>
      <c r="F74" s="11"/>
      <c r="G74" s="13"/>
    </row>
    <row r="75" spans="1:7" x14ac:dyDescent="0.2">
      <c r="A75" s="4"/>
      <c r="B75" s="8"/>
      <c r="C75" s="6"/>
      <c r="D75" s="5"/>
      <c r="E75" s="5"/>
      <c r="F75" s="10"/>
      <c r="G75" s="14"/>
    </row>
    <row r="76" spans="1:7" x14ac:dyDescent="0.2">
      <c r="A76" s="4"/>
      <c r="B76" s="8"/>
      <c r="C76" s="6"/>
      <c r="D76" s="5"/>
      <c r="E76" s="5"/>
      <c r="F76" s="11"/>
      <c r="G76" s="13"/>
    </row>
    <row r="77" spans="1:7" ht="13.5" thickBot="1" x14ac:dyDescent="0.25">
      <c r="A77" s="4"/>
      <c r="B77" s="8"/>
      <c r="C77" s="6"/>
      <c r="D77" s="5"/>
      <c r="E77" s="5"/>
      <c r="F77" s="15"/>
      <c r="G77" s="16"/>
    </row>
    <row r="78" spans="1:7" ht="15" thickBot="1" x14ac:dyDescent="0.25">
      <c r="F78" s="17">
        <f>SUM(F4:F77)</f>
        <v>186835.35</v>
      </c>
      <c r="G78" s="18">
        <f>SUM(G49:G77)</f>
        <v>0</v>
      </c>
    </row>
    <row r="79" spans="1:7" x14ac:dyDescent="0.2">
      <c r="G79" s="2"/>
    </row>
    <row r="80" spans="1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</sheetData>
  <mergeCells count="3">
    <mergeCell ref="A1:A2"/>
    <mergeCell ref="B1:E2"/>
    <mergeCell ref="F1:G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9"/>
  <sheetViews>
    <sheetView tabSelected="1" topLeftCell="A8" workbookViewId="0">
      <selection activeCell="C28" sqref="C28"/>
    </sheetView>
  </sheetViews>
  <sheetFormatPr defaultColWidth="63.83203125" defaultRowHeight="12.75" x14ac:dyDescent="0.2"/>
  <cols>
    <col min="1" max="1" width="13.33203125" bestFit="1" customWidth="1"/>
    <col min="2" max="2" width="13.5" bestFit="1" customWidth="1"/>
    <col min="3" max="3" width="71.33203125" bestFit="1" customWidth="1"/>
    <col min="4" max="4" width="11.5" style="1" customWidth="1"/>
    <col min="5" max="5" width="12.83203125" customWidth="1"/>
    <col min="6" max="6" width="18.33203125" bestFit="1" customWidth="1"/>
    <col min="7" max="7" width="16.5" bestFit="1" customWidth="1"/>
    <col min="9" max="9" width="13.33203125" bestFit="1" customWidth="1"/>
  </cols>
  <sheetData>
    <row r="1" spans="1:7" ht="22.5" customHeight="1" x14ac:dyDescent="0.2">
      <c r="A1" s="29"/>
      <c r="B1" s="31" t="s">
        <v>7</v>
      </c>
      <c r="C1" s="32"/>
      <c r="D1" s="32"/>
      <c r="E1" s="33"/>
      <c r="F1" s="31" t="s">
        <v>8</v>
      </c>
      <c r="G1" s="32"/>
    </row>
    <row r="2" spans="1:7" ht="22.5" customHeight="1" x14ac:dyDescent="0.2">
      <c r="A2" s="30"/>
      <c r="B2" s="34"/>
      <c r="C2" s="35"/>
      <c r="D2" s="35"/>
      <c r="E2" s="36"/>
      <c r="F2" s="34"/>
      <c r="G2" s="35"/>
    </row>
    <row r="3" spans="1:7" ht="14.25" x14ac:dyDescent="0.2">
      <c r="A3" s="3" t="s">
        <v>0</v>
      </c>
      <c r="B3" s="3" t="s">
        <v>5</v>
      </c>
      <c r="C3" s="3" t="s">
        <v>1</v>
      </c>
      <c r="D3" s="3" t="s">
        <v>2</v>
      </c>
      <c r="E3" s="3" t="s">
        <v>4</v>
      </c>
      <c r="F3" s="9" t="s">
        <v>3</v>
      </c>
      <c r="G3" s="12" t="s">
        <v>6</v>
      </c>
    </row>
    <row r="4" spans="1:7" x14ac:dyDescent="0.2">
      <c r="A4" s="19">
        <v>45688</v>
      </c>
      <c r="B4" s="7">
        <v>1129</v>
      </c>
      <c r="C4" s="6" t="s">
        <v>13</v>
      </c>
      <c r="D4" s="5">
        <v>1550</v>
      </c>
      <c r="E4" s="5">
        <v>445</v>
      </c>
      <c r="F4" s="25">
        <v>908.85</v>
      </c>
      <c r="G4" s="24"/>
    </row>
    <row r="5" spans="1:7" x14ac:dyDescent="0.2">
      <c r="A5" s="19">
        <v>45700</v>
      </c>
      <c r="B5" s="7">
        <v>1286</v>
      </c>
      <c r="C5" s="6" t="s">
        <v>14</v>
      </c>
      <c r="D5" s="5">
        <v>1550</v>
      </c>
      <c r="E5" s="5">
        <v>445</v>
      </c>
      <c r="F5" s="25">
        <v>3880</v>
      </c>
      <c r="G5" s="24"/>
    </row>
    <row r="6" spans="1:7" x14ac:dyDescent="0.2">
      <c r="A6" s="19">
        <v>45706</v>
      </c>
      <c r="B6" s="7">
        <v>1397</v>
      </c>
      <c r="C6" s="6" t="s">
        <v>11</v>
      </c>
      <c r="D6" s="5">
        <v>1550</v>
      </c>
      <c r="E6" s="5">
        <v>445</v>
      </c>
      <c r="F6" s="25">
        <v>9923.85</v>
      </c>
      <c r="G6" s="24"/>
    </row>
    <row r="7" spans="1:7" x14ac:dyDescent="0.2">
      <c r="A7" s="19">
        <v>45709</v>
      </c>
      <c r="B7" s="7">
        <v>1449</v>
      </c>
      <c r="C7" s="6" t="s">
        <v>11</v>
      </c>
      <c r="D7" s="5">
        <v>1550</v>
      </c>
      <c r="E7" s="5">
        <v>445</v>
      </c>
      <c r="F7" s="25">
        <v>2744.72</v>
      </c>
      <c r="G7" s="24"/>
    </row>
    <row r="8" spans="1:7" x14ac:dyDescent="0.2">
      <c r="A8" s="19">
        <v>45709</v>
      </c>
      <c r="B8" s="7">
        <v>1450</v>
      </c>
      <c r="C8" s="6" t="s">
        <v>11</v>
      </c>
      <c r="D8" s="5">
        <v>1550</v>
      </c>
      <c r="E8" s="5">
        <v>445</v>
      </c>
      <c r="F8" s="25">
        <v>4330.78</v>
      </c>
      <c r="G8" s="24"/>
    </row>
    <row r="9" spans="1:7" x14ac:dyDescent="0.2">
      <c r="A9" s="19">
        <v>45719</v>
      </c>
      <c r="B9" s="7">
        <v>1808</v>
      </c>
      <c r="C9" s="6" t="s">
        <v>13</v>
      </c>
      <c r="D9" s="5">
        <v>1550</v>
      </c>
      <c r="E9" s="5">
        <v>445</v>
      </c>
      <c r="F9" s="25">
        <v>4414.8</v>
      </c>
      <c r="G9" s="24"/>
    </row>
    <row r="10" spans="1:7" x14ac:dyDescent="0.2">
      <c r="A10" s="19">
        <v>45737</v>
      </c>
      <c r="B10" s="7">
        <v>2026</v>
      </c>
      <c r="C10" s="6" t="s">
        <v>11</v>
      </c>
      <c r="D10" s="5">
        <v>1550</v>
      </c>
      <c r="E10" s="5">
        <v>445</v>
      </c>
      <c r="F10" s="25">
        <v>3961.52</v>
      </c>
      <c r="G10" s="24"/>
    </row>
    <row r="11" spans="1:7" x14ac:dyDescent="0.2">
      <c r="A11" s="19">
        <v>45737</v>
      </c>
      <c r="B11" s="7">
        <v>2023</v>
      </c>
      <c r="C11" s="6" t="s">
        <v>11</v>
      </c>
      <c r="D11" s="5">
        <v>1550</v>
      </c>
      <c r="E11" s="5">
        <v>445</v>
      </c>
      <c r="F11" s="25">
        <v>3223.83</v>
      </c>
      <c r="G11" s="24"/>
    </row>
    <row r="12" spans="1:7" x14ac:dyDescent="0.2">
      <c r="A12" s="19">
        <v>45742</v>
      </c>
      <c r="B12" s="7">
        <v>2081</v>
      </c>
      <c r="C12" s="6" t="s">
        <v>13</v>
      </c>
      <c r="D12" s="5">
        <v>1550</v>
      </c>
      <c r="E12" s="5">
        <v>445</v>
      </c>
      <c r="F12" s="25">
        <v>2595.5</v>
      </c>
      <c r="G12" s="24"/>
    </row>
    <row r="13" spans="1:7" x14ac:dyDescent="0.2">
      <c r="A13" s="19">
        <v>45769</v>
      </c>
      <c r="B13" s="7">
        <v>2749</v>
      </c>
      <c r="C13" s="6" t="s">
        <v>11</v>
      </c>
      <c r="D13" s="5">
        <v>1550</v>
      </c>
      <c r="E13" s="5">
        <v>445</v>
      </c>
      <c r="F13" s="25">
        <v>3763.34</v>
      </c>
      <c r="G13" s="24"/>
    </row>
    <row r="14" spans="1:7" x14ac:dyDescent="0.2">
      <c r="A14" s="19">
        <v>45769</v>
      </c>
      <c r="B14" s="7">
        <v>2755</v>
      </c>
      <c r="C14" s="6" t="s">
        <v>13</v>
      </c>
      <c r="D14" s="5">
        <v>1550</v>
      </c>
      <c r="E14" s="5">
        <v>445</v>
      </c>
      <c r="F14" s="25">
        <v>3270.62</v>
      </c>
      <c r="G14" s="24"/>
    </row>
    <row r="15" spans="1:7" x14ac:dyDescent="0.2">
      <c r="A15" s="19">
        <v>45769</v>
      </c>
      <c r="B15" s="7">
        <v>2748</v>
      </c>
      <c r="C15" s="6" t="s">
        <v>11</v>
      </c>
      <c r="D15" s="5">
        <v>1550</v>
      </c>
      <c r="E15" s="5">
        <v>445</v>
      </c>
      <c r="F15" s="25">
        <v>3180.15</v>
      </c>
      <c r="G15" s="24"/>
    </row>
    <row r="16" spans="1:7" x14ac:dyDescent="0.2">
      <c r="A16" s="19">
        <v>45797</v>
      </c>
      <c r="B16" s="7">
        <v>3426</v>
      </c>
      <c r="C16" s="6" t="s">
        <v>11</v>
      </c>
      <c r="D16" s="5">
        <v>1550</v>
      </c>
      <c r="E16" s="5">
        <v>445</v>
      </c>
      <c r="F16" s="25">
        <v>2915.64</v>
      </c>
      <c r="G16" s="24"/>
    </row>
    <row r="17" spans="1:7" x14ac:dyDescent="0.2">
      <c r="A17" s="19">
        <v>45797</v>
      </c>
      <c r="B17" s="7">
        <v>3427</v>
      </c>
      <c r="C17" s="6" t="s">
        <v>11</v>
      </c>
      <c r="D17" s="5">
        <v>1550</v>
      </c>
      <c r="E17" s="5">
        <v>445</v>
      </c>
      <c r="F17" s="25">
        <v>2019.33</v>
      </c>
      <c r="G17" s="24"/>
    </row>
    <row r="18" spans="1:7" x14ac:dyDescent="0.2">
      <c r="A18" s="19">
        <v>45804</v>
      </c>
      <c r="B18" s="7">
        <v>3579</v>
      </c>
      <c r="C18" s="6" t="s">
        <v>13</v>
      </c>
      <c r="D18" s="5">
        <v>1550</v>
      </c>
      <c r="E18" s="5">
        <v>445</v>
      </c>
      <c r="F18" s="25">
        <v>3115.24</v>
      </c>
      <c r="G18" s="24"/>
    </row>
    <row r="19" spans="1:7" x14ac:dyDescent="0.2">
      <c r="A19" s="19">
        <v>45831</v>
      </c>
      <c r="B19" s="7">
        <v>4299</v>
      </c>
      <c r="C19" s="6" t="s">
        <v>11</v>
      </c>
      <c r="D19" s="5">
        <v>1550</v>
      </c>
      <c r="E19" s="5">
        <v>445</v>
      </c>
      <c r="F19" s="25">
        <v>2422.8000000000002</v>
      </c>
      <c r="G19" s="24"/>
    </row>
    <row r="20" spans="1:7" x14ac:dyDescent="0.2">
      <c r="A20" s="19">
        <v>45831</v>
      </c>
      <c r="B20" s="7">
        <v>4298</v>
      </c>
      <c r="C20" s="6" t="s">
        <v>11</v>
      </c>
      <c r="D20" s="5">
        <v>1550</v>
      </c>
      <c r="E20" s="5">
        <v>445</v>
      </c>
      <c r="F20" s="25">
        <v>1886.87</v>
      </c>
      <c r="G20" s="24"/>
    </row>
    <row r="21" spans="1:7" x14ac:dyDescent="0.2">
      <c r="A21" s="19">
        <v>45835</v>
      </c>
      <c r="B21" s="7">
        <v>4671</v>
      </c>
      <c r="C21" s="6" t="s">
        <v>11</v>
      </c>
      <c r="D21" s="5">
        <v>1550</v>
      </c>
      <c r="E21" s="5">
        <v>445</v>
      </c>
      <c r="F21" s="25">
        <v>3208.8</v>
      </c>
      <c r="G21" s="24"/>
    </row>
    <row r="22" spans="1:7" x14ac:dyDescent="0.2">
      <c r="A22" s="19">
        <v>45842</v>
      </c>
      <c r="B22" s="7">
        <v>4785</v>
      </c>
      <c r="C22" s="6" t="s">
        <v>11</v>
      </c>
      <c r="D22" s="5">
        <v>1550</v>
      </c>
      <c r="E22" s="5">
        <v>445</v>
      </c>
      <c r="F22" s="25">
        <v>4098.3500000000004</v>
      </c>
      <c r="G22" s="24"/>
    </row>
    <row r="23" spans="1:7" x14ac:dyDescent="0.2">
      <c r="A23" s="19">
        <v>45862</v>
      </c>
      <c r="B23" s="7">
        <v>5298</v>
      </c>
      <c r="C23" s="6" t="s">
        <v>11</v>
      </c>
      <c r="D23" s="5">
        <v>1550</v>
      </c>
      <c r="E23" s="5">
        <v>445</v>
      </c>
      <c r="F23" s="25">
        <v>555.79999999999995</v>
      </c>
      <c r="G23" s="24"/>
    </row>
    <row r="24" spans="1:7" x14ac:dyDescent="0.2">
      <c r="A24" s="19">
        <v>45862</v>
      </c>
      <c r="B24" s="7">
        <v>5297</v>
      </c>
      <c r="C24" s="6" t="s">
        <v>11</v>
      </c>
      <c r="D24" s="5">
        <v>1550</v>
      </c>
      <c r="E24" s="5">
        <v>445</v>
      </c>
      <c r="F24" s="25">
        <v>868.2</v>
      </c>
      <c r="G24" s="24"/>
    </row>
    <row r="25" spans="1:7" x14ac:dyDescent="0.2">
      <c r="A25" s="19">
        <v>45869</v>
      </c>
      <c r="B25" s="7">
        <v>5698</v>
      </c>
      <c r="C25" s="6" t="s">
        <v>15</v>
      </c>
      <c r="D25" s="5">
        <v>1550</v>
      </c>
      <c r="E25" s="5">
        <v>445</v>
      </c>
      <c r="F25" s="25">
        <v>3677.72</v>
      </c>
      <c r="G25" s="24"/>
    </row>
    <row r="26" spans="1:7" x14ac:dyDescent="0.2">
      <c r="A26" s="19">
        <v>45869</v>
      </c>
      <c r="B26" s="7">
        <v>5697</v>
      </c>
      <c r="C26" s="6" t="s">
        <v>15</v>
      </c>
      <c r="D26" s="5">
        <v>1550</v>
      </c>
      <c r="E26" s="5">
        <v>445</v>
      </c>
      <c r="F26" s="25">
        <v>3799.66</v>
      </c>
      <c r="G26" s="24"/>
    </row>
    <row r="27" spans="1:7" x14ac:dyDescent="0.2">
      <c r="A27" s="19">
        <v>45873</v>
      </c>
      <c r="B27" s="7">
        <v>5768</v>
      </c>
      <c r="C27" s="6" t="s">
        <v>14</v>
      </c>
      <c r="D27" s="5">
        <v>1550</v>
      </c>
      <c r="E27" s="5">
        <v>445</v>
      </c>
      <c r="F27" s="25">
        <v>8570</v>
      </c>
      <c r="G27" s="24"/>
    </row>
    <row r="28" spans="1:7" x14ac:dyDescent="0.2">
      <c r="A28" s="19"/>
      <c r="B28" s="7"/>
      <c r="C28" s="6"/>
      <c r="D28" s="5"/>
      <c r="E28" s="5"/>
      <c r="F28" s="25"/>
      <c r="G28" s="24"/>
    </row>
    <row r="29" spans="1:7" x14ac:dyDescent="0.2">
      <c r="A29" s="19"/>
      <c r="B29" s="7"/>
      <c r="C29" s="6"/>
      <c r="D29" s="5"/>
      <c r="E29" s="5"/>
      <c r="F29" s="25"/>
      <c r="G29" s="24"/>
    </row>
    <row r="30" spans="1:7" x14ac:dyDescent="0.2">
      <c r="A30" s="19"/>
      <c r="B30" s="7"/>
      <c r="D30" s="5"/>
      <c r="E30" s="5"/>
      <c r="F30" s="25"/>
      <c r="G30" s="24"/>
    </row>
    <row r="31" spans="1:7" x14ac:dyDescent="0.2">
      <c r="A31" s="19"/>
      <c r="B31" s="7"/>
      <c r="C31" s="6"/>
      <c r="D31" s="5"/>
      <c r="E31" s="5"/>
      <c r="F31" s="25"/>
      <c r="G31" s="24"/>
    </row>
    <row r="32" spans="1:7" x14ac:dyDescent="0.2">
      <c r="A32" s="19"/>
      <c r="B32" s="7"/>
      <c r="C32" s="6"/>
      <c r="D32" s="5"/>
      <c r="E32" s="5"/>
      <c r="F32" s="25"/>
      <c r="G32" s="24"/>
    </row>
    <row r="33" spans="1:7" x14ac:dyDescent="0.2">
      <c r="A33" s="19"/>
      <c r="B33" s="7"/>
      <c r="C33" s="6"/>
      <c r="D33" s="5"/>
      <c r="E33" s="5"/>
      <c r="F33" s="25"/>
      <c r="G33" s="24"/>
    </row>
    <row r="34" spans="1:7" x14ac:dyDescent="0.2">
      <c r="A34" s="19"/>
      <c r="B34" s="7"/>
      <c r="C34" s="6"/>
      <c r="D34" s="5"/>
      <c r="E34" s="5"/>
      <c r="F34" s="25"/>
      <c r="G34" s="24"/>
    </row>
    <row r="35" spans="1:7" x14ac:dyDescent="0.2">
      <c r="A35" s="19"/>
      <c r="B35" s="7"/>
      <c r="C35" s="6"/>
      <c r="D35" s="5"/>
      <c r="E35" s="5"/>
      <c r="F35" s="25"/>
      <c r="G35" s="24"/>
    </row>
    <row r="36" spans="1:7" x14ac:dyDescent="0.2">
      <c r="A36" s="19"/>
      <c r="B36" s="7"/>
      <c r="C36" s="6"/>
      <c r="D36" s="5"/>
      <c r="E36" s="5"/>
      <c r="F36" s="25"/>
      <c r="G36" s="24"/>
    </row>
    <row r="37" spans="1:7" x14ac:dyDescent="0.2">
      <c r="A37" s="19"/>
      <c r="B37" s="7"/>
      <c r="C37" s="6"/>
      <c r="D37" s="5"/>
      <c r="E37" s="5"/>
      <c r="F37" s="25"/>
      <c r="G37" s="26"/>
    </row>
    <row r="38" spans="1:7" x14ac:dyDescent="0.2">
      <c r="A38" s="19"/>
      <c r="B38" s="7"/>
      <c r="C38" s="6"/>
      <c r="D38" s="5"/>
      <c r="E38" s="5"/>
      <c r="F38" s="25"/>
      <c r="G38" s="26"/>
    </row>
    <row r="39" spans="1:7" x14ac:dyDescent="0.2">
      <c r="A39" s="19"/>
      <c r="B39" s="7"/>
      <c r="C39" s="6"/>
      <c r="D39" s="5"/>
      <c r="E39" s="5"/>
      <c r="F39" s="25"/>
      <c r="G39" s="26"/>
    </row>
    <row r="40" spans="1:7" x14ac:dyDescent="0.2">
      <c r="A40" s="19"/>
      <c r="B40" s="7"/>
      <c r="C40" s="6"/>
      <c r="D40" s="5"/>
      <c r="E40" s="5"/>
      <c r="F40" s="25"/>
      <c r="G40" s="26"/>
    </row>
    <row r="41" spans="1:7" x14ac:dyDescent="0.2">
      <c r="A41" s="19"/>
      <c r="B41" s="7"/>
      <c r="C41" s="6"/>
      <c r="D41" s="5"/>
      <c r="E41" s="5"/>
      <c r="F41" s="25"/>
      <c r="G41" s="26"/>
    </row>
    <row r="42" spans="1:7" x14ac:dyDescent="0.2">
      <c r="A42" s="19"/>
      <c r="B42" s="7"/>
      <c r="C42" s="6"/>
      <c r="D42" s="5"/>
      <c r="E42" s="5"/>
      <c r="F42" s="25"/>
      <c r="G42" s="26"/>
    </row>
    <row r="43" spans="1:7" x14ac:dyDescent="0.2">
      <c r="A43" s="19"/>
      <c r="B43" s="7"/>
      <c r="C43" s="6"/>
      <c r="D43" s="5"/>
      <c r="E43" s="5"/>
      <c r="F43" s="25"/>
      <c r="G43" s="26"/>
    </row>
    <row r="44" spans="1:7" x14ac:dyDescent="0.2">
      <c r="A44" s="19"/>
      <c r="B44" s="7"/>
      <c r="C44" s="6"/>
      <c r="D44" s="5"/>
      <c r="E44" s="5"/>
      <c r="F44" s="25"/>
      <c r="G44" s="26"/>
    </row>
    <row r="45" spans="1:7" x14ac:dyDescent="0.2">
      <c r="A45" s="19"/>
      <c r="B45" s="7"/>
      <c r="C45" s="6"/>
      <c r="D45" s="5"/>
      <c r="E45" s="5"/>
      <c r="F45" s="25"/>
      <c r="G45" s="26"/>
    </row>
    <row r="46" spans="1:7" x14ac:dyDescent="0.2">
      <c r="A46" s="19"/>
      <c r="B46" s="7"/>
      <c r="C46" s="6"/>
      <c r="D46" s="5"/>
      <c r="E46" s="5"/>
      <c r="F46" s="25"/>
      <c r="G46" s="26"/>
    </row>
    <row r="47" spans="1:7" x14ac:dyDescent="0.2">
      <c r="A47" s="19"/>
      <c r="B47" s="7"/>
      <c r="C47" s="6"/>
      <c r="D47" s="5"/>
      <c r="E47" s="5"/>
      <c r="F47" s="25"/>
      <c r="G47" s="26"/>
    </row>
    <row r="48" spans="1:7" x14ac:dyDescent="0.2">
      <c r="A48" s="19"/>
      <c r="B48" s="7"/>
      <c r="C48" s="6"/>
      <c r="D48" s="5"/>
      <c r="E48" s="5"/>
      <c r="F48" s="25"/>
      <c r="G48" s="26"/>
    </row>
    <row r="49" spans="1:7" x14ac:dyDescent="0.2">
      <c r="A49" s="19"/>
      <c r="B49" s="7"/>
      <c r="C49" s="6"/>
      <c r="D49" s="5"/>
      <c r="E49" s="5"/>
      <c r="F49" s="25"/>
      <c r="G49" s="26"/>
    </row>
    <row r="50" spans="1:7" x14ac:dyDescent="0.2">
      <c r="A50" s="19"/>
      <c r="B50" s="7"/>
      <c r="C50" s="6"/>
      <c r="D50" s="5"/>
      <c r="E50" s="5"/>
      <c r="F50" s="27"/>
      <c r="G50" s="28"/>
    </row>
    <row r="51" spans="1:7" x14ac:dyDescent="0.2">
      <c r="A51" s="19"/>
      <c r="B51" s="7"/>
      <c r="C51" s="6"/>
      <c r="D51" s="5"/>
      <c r="E51" s="5"/>
      <c r="F51" s="27"/>
      <c r="G51" s="28"/>
    </row>
    <row r="52" spans="1:7" x14ac:dyDescent="0.2">
      <c r="A52" s="19"/>
      <c r="B52" s="7"/>
      <c r="C52" s="6"/>
      <c r="D52" s="5"/>
      <c r="E52" s="5"/>
      <c r="F52" s="27"/>
      <c r="G52" s="28"/>
    </row>
    <row r="53" spans="1:7" x14ac:dyDescent="0.2">
      <c r="A53" s="4"/>
      <c r="B53" s="8"/>
      <c r="C53" s="6"/>
      <c r="D53" s="5"/>
      <c r="E53" s="5"/>
      <c r="F53" s="20"/>
      <c r="G53" s="21"/>
    </row>
    <row r="54" spans="1:7" x14ac:dyDescent="0.2">
      <c r="A54" s="4"/>
      <c r="B54" s="8"/>
      <c r="C54" s="6"/>
      <c r="D54" s="5"/>
      <c r="E54" s="5"/>
      <c r="F54" s="22"/>
      <c r="G54" s="23"/>
    </row>
    <row r="55" spans="1:7" x14ac:dyDescent="0.2">
      <c r="A55" s="4"/>
      <c r="B55" s="8"/>
      <c r="C55" s="6"/>
      <c r="D55" s="5"/>
      <c r="E55" s="5"/>
      <c r="F55" s="20"/>
      <c r="G55" s="21"/>
    </row>
    <row r="56" spans="1:7" x14ac:dyDescent="0.2">
      <c r="A56" s="4"/>
      <c r="B56" s="8"/>
      <c r="C56" s="6"/>
      <c r="D56" s="5"/>
      <c r="E56" s="5"/>
      <c r="F56" s="22"/>
      <c r="G56" s="23"/>
    </row>
    <row r="57" spans="1:7" x14ac:dyDescent="0.2">
      <c r="A57" s="4"/>
      <c r="B57" s="8"/>
      <c r="C57" s="6"/>
      <c r="D57" s="5"/>
      <c r="E57" s="5"/>
      <c r="F57" s="20"/>
      <c r="G57" s="21"/>
    </row>
    <row r="58" spans="1:7" x14ac:dyDescent="0.2">
      <c r="A58" s="4"/>
      <c r="B58" s="8"/>
      <c r="C58" s="6"/>
      <c r="D58" s="5"/>
      <c r="E58" s="5"/>
      <c r="F58" s="22"/>
      <c r="G58" s="23"/>
    </row>
    <row r="59" spans="1:7" x14ac:dyDescent="0.2">
      <c r="A59" s="4"/>
      <c r="B59" s="8"/>
      <c r="C59" s="6"/>
      <c r="D59" s="5"/>
      <c r="E59" s="5"/>
      <c r="F59" s="20"/>
      <c r="G59" s="21"/>
    </row>
    <row r="60" spans="1:7" x14ac:dyDescent="0.2">
      <c r="A60" s="4"/>
      <c r="B60" s="8"/>
      <c r="C60" s="6"/>
      <c r="D60" s="5"/>
      <c r="E60" s="5"/>
      <c r="F60" s="22"/>
      <c r="G60" s="23"/>
    </row>
    <row r="61" spans="1:7" x14ac:dyDescent="0.2">
      <c r="A61" s="4"/>
      <c r="B61" s="8"/>
      <c r="C61" s="6"/>
      <c r="D61" s="5"/>
      <c r="E61" s="5"/>
      <c r="F61" s="20"/>
      <c r="G61" s="21"/>
    </row>
    <row r="62" spans="1:7" x14ac:dyDescent="0.2">
      <c r="A62" s="4"/>
      <c r="B62" s="8"/>
      <c r="C62" s="6"/>
      <c r="D62" s="5"/>
      <c r="E62" s="5"/>
      <c r="F62" s="22"/>
      <c r="G62" s="23"/>
    </row>
    <row r="63" spans="1:7" x14ac:dyDescent="0.2">
      <c r="A63" s="4"/>
      <c r="B63" s="8"/>
      <c r="C63" s="6"/>
      <c r="D63" s="5"/>
      <c r="E63" s="5"/>
      <c r="F63" s="10"/>
      <c r="G63" s="14"/>
    </row>
    <row r="64" spans="1:7" x14ac:dyDescent="0.2">
      <c r="A64" s="4"/>
      <c r="B64" s="8"/>
      <c r="C64" s="6"/>
      <c r="D64" s="5"/>
      <c r="E64" s="5"/>
      <c r="F64" s="11"/>
      <c r="G64" s="13"/>
    </row>
    <row r="65" spans="1:7" x14ac:dyDescent="0.2">
      <c r="A65" s="4"/>
      <c r="B65" s="8"/>
      <c r="C65" s="6"/>
      <c r="D65" s="5"/>
      <c r="E65" s="5"/>
      <c r="F65" s="10"/>
      <c r="G65" s="14"/>
    </row>
    <row r="66" spans="1:7" x14ac:dyDescent="0.2">
      <c r="A66" s="4"/>
      <c r="B66" s="8"/>
      <c r="C66" s="6"/>
      <c r="D66" s="5"/>
      <c r="E66" s="5"/>
      <c r="F66" s="11"/>
      <c r="G66" s="13"/>
    </row>
    <row r="67" spans="1:7" x14ac:dyDescent="0.2">
      <c r="A67" s="4"/>
      <c r="B67" s="8"/>
      <c r="C67" s="6"/>
      <c r="D67" s="5"/>
      <c r="E67" s="5"/>
      <c r="F67" s="10"/>
      <c r="G67" s="14"/>
    </row>
    <row r="68" spans="1:7" x14ac:dyDescent="0.2">
      <c r="A68" s="4"/>
      <c r="B68" s="8"/>
      <c r="C68" s="6"/>
      <c r="D68" s="5"/>
      <c r="E68" s="5"/>
      <c r="F68" s="11"/>
      <c r="G68" s="13"/>
    </row>
    <row r="69" spans="1:7" x14ac:dyDescent="0.2">
      <c r="A69" s="4"/>
      <c r="B69" s="8"/>
      <c r="C69" s="6"/>
      <c r="D69" s="5"/>
      <c r="E69" s="5"/>
      <c r="F69" s="10"/>
      <c r="G69" s="14"/>
    </row>
    <row r="70" spans="1:7" x14ac:dyDescent="0.2">
      <c r="A70" s="4"/>
      <c r="B70" s="8"/>
      <c r="C70" s="6"/>
      <c r="D70" s="5"/>
      <c r="E70" s="5"/>
      <c r="F70" s="11"/>
      <c r="G70" s="13"/>
    </row>
    <row r="71" spans="1:7" x14ac:dyDescent="0.2">
      <c r="A71" s="4"/>
      <c r="B71" s="8"/>
      <c r="C71" s="6"/>
      <c r="D71" s="5"/>
      <c r="E71" s="5"/>
      <c r="F71" s="10"/>
      <c r="G71" s="14"/>
    </row>
    <row r="72" spans="1:7" x14ac:dyDescent="0.2">
      <c r="A72" s="4"/>
      <c r="B72" s="8"/>
      <c r="C72" s="6"/>
      <c r="D72" s="5"/>
      <c r="E72" s="5"/>
      <c r="F72" s="11"/>
      <c r="G72" s="13"/>
    </row>
    <row r="73" spans="1:7" x14ac:dyDescent="0.2">
      <c r="A73" s="4"/>
      <c r="B73" s="8"/>
      <c r="C73" s="6"/>
      <c r="D73" s="5"/>
      <c r="E73" s="5"/>
      <c r="F73" s="10"/>
      <c r="G73" s="14"/>
    </row>
    <row r="74" spans="1:7" x14ac:dyDescent="0.2">
      <c r="A74" s="4"/>
      <c r="B74" s="8"/>
      <c r="C74" s="6"/>
      <c r="D74" s="5"/>
      <c r="E74" s="5"/>
      <c r="F74" s="11"/>
      <c r="G74" s="13"/>
    </row>
    <row r="75" spans="1:7" x14ac:dyDescent="0.2">
      <c r="A75" s="4"/>
      <c r="B75" s="8"/>
      <c r="C75" s="6"/>
      <c r="D75" s="5"/>
      <c r="E75" s="5"/>
      <c r="F75" s="10"/>
      <c r="G75" s="14"/>
    </row>
    <row r="76" spans="1:7" x14ac:dyDescent="0.2">
      <c r="A76" s="4"/>
      <c r="B76" s="8"/>
      <c r="C76" s="6"/>
      <c r="D76" s="5"/>
      <c r="E76" s="5"/>
      <c r="F76" s="11"/>
      <c r="G76" s="13"/>
    </row>
    <row r="77" spans="1:7" ht="13.5" thickBot="1" x14ac:dyDescent="0.25">
      <c r="A77" s="4"/>
      <c r="B77" s="8"/>
      <c r="C77" s="6"/>
      <c r="D77" s="5"/>
      <c r="E77" s="5"/>
      <c r="F77" s="15"/>
      <c r="G77" s="16"/>
    </row>
    <row r="78" spans="1:7" ht="15" thickBot="1" x14ac:dyDescent="0.25">
      <c r="F78" s="17">
        <f>SUM(F4:F77)</f>
        <v>83336.370000000024</v>
      </c>
      <c r="G78" s="18">
        <f>SUM(G49:G77)</f>
        <v>0</v>
      </c>
    </row>
    <row r="79" spans="1:7" x14ac:dyDescent="0.2">
      <c r="G79" s="2"/>
    </row>
    <row r="80" spans="1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</sheetData>
  <mergeCells count="3">
    <mergeCell ref="A1:A2"/>
    <mergeCell ref="B1:E2"/>
    <mergeCell ref="F1:G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FONTE 2550 e 1550 - FICHA 389</vt:lpstr>
      <vt:lpstr>FONTE 1550 - FICHA 444</vt:lpstr>
      <vt:lpstr>FONTE 1550 - FICHA 445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EXTRATO ANALÍTICO DE DOTAÇÕES DO PERÍODO DE 01/01/2024 A 31/12/2024</dc:title>
  <dc:creator>Felipe</dc:creator>
  <cp:lastModifiedBy>nutrielainelopes22@gmail.com</cp:lastModifiedBy>
  <dcterms:created xsi:type="dcterms:W3CDTF">2024-06-12T10:56:38Z</dcterms:created>
  <dcterms:modified xsi:type="dcterms:W3CDTF">2025-08-06T19:43:45Z</dcterms:modified>
</cp:coreProperties>
</file>