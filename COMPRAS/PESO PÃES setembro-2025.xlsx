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cê\Desktop\COMPRAS\"/>
    </mc:Choice>
  </mc:AlternateContent>
  <xr:revisionPtr revIDLastSave="0" documentId="8_{723E7585-ACFF-455B-A52C-68DB52BF50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TEMBRO - 2025 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34" l="1"/>
  <c r="H36" i="34" s="1"/>
  <c r="I32" i="34"/>
  <c r="H32" i="34"/>
  <c r="G32" i="34"/>
  <c r="F32" i="34"/>
  <c r="F36" i="34" s="1"/>
  <c r="C32" i="34"/>
  <c r="B32" i="34"/>
  <c r="K23" i="34"/>
  <c r="K22" i="34"/>
  <c r="K21" i="34"/>
  <c r="K20" i="34"/>
  <c r="K32" i="34" s="1"/>
  <c r="E11" i="34"/>
  <c r="D11" i="34"/>
  <c r="D32" i="34" s="1"/>
  <c r="C11" i="34"/>
  <c r="E7" i="34"/>
  <c r="E32" i="34" s="1"/>
  <c r="D7" i="34"/>
  <c r="C7" i="34"/>
  <c r="B36" i="34" l="1"/>
  <c r="K36" i="34" s="1"/>
</calcChain>
</file>

<file path=xl/sharedStrings.xml><?xml version="1.0" encoding="utf-8"?>
<sst xmlns="http://schemas.openxmlformats.org/spreadsheetml/2006/main" count="16" uniqueCount="16">
  <si>
    <t>STO ANT</t>
  </si>
  <si>
    <t>BELINHA</t>
  </si>
  <si>
    <t>MENÇ.</t>
  </si>
  <si>
    <t>MAÍSA</t>
  </si>
  <si>
    <t>MÔNICA</t>
  </si>
  <si>
    <t xml:space="preserve">MAREC. </t>
  </si>
  <si>
    <t>POLIANA</t>
  </si>
  <si>
    <t>ABC</t>
  </si>
  <si>
    <t>CRECHES</t>
  </si>
  <si>
    <t>PRÉ ESCOLAS</t>
  </si>
  <si>
    <t>ESCOLAS</t>
  </si>
  <si>
    <t>DATA</t>
  </si>
  <si>
    <t>ALICE</t>
  </si>
  <si>
    <t>PESO DOS PÃES NEVES - SETEMBRO/2025</t>
  </si>
  <si>
    <t>PROJETO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</si>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</sst>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Aptos Narrow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sz val="12"/>
      <name val="Aptos Narrow"/>
      <family val="2"/>
    </font>
    <font>
      <b/>
      <sz val="14"/>
      <color rgb="FFFF0000"/>
      <name val="Aptos Narrow"/>
      <family val="2"/>
    </font>
    <font>
      <b/>
      <sz val="11"/>
      <color theme="1"/>
      <name val="Aptos Narrow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5" fillId="4" borderId="21" xfId="0" applyNumberFormat="1" applyFont="1" applyFill="1" applyBorder="1" applyAlignment="1">
      <alignment horizontal="center" vertical="center"/>
    </xf>
    <xf numFmtId="1" fontId="5" fillId="4" borderId="20" xfId="0" applyNumberFormat="1" applyFont="1" applyFill="1" applyBorder="1" applyAlignment="1">
      <alignment horizontal="center" vertical="center" wrapText="1"/>
    </xf>
    <xf numFmtId="1" fontId="5" fillId="4" borderId="16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1" fontId="5" fillId="4" borderId="15" xfId="0" applyNumberFormat="1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1" fontId="5" fillId="4" borderId="2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/>
    </xf>
    <xf numFmtId="1" fontId="5" fillId="5" borderId="21" xfId="0" applyNumberFormat="1" applyFont="1" applyFill="1" applyBorder="1" applyAlignment="1">
      <alignment horizontal="center" vertical="center" wrapText="1"/>
    </xf>
    <xf numFmtId="1" fontId="5" fillId="4" borderId="15" xfId="0" applyNumberFormat="1" applyFont="1" applyFill="1" applyBorder="1" applyAlignment="1">
      <alignment horizontal="center" vertical="center"/>
    </xf>
    <xf numFmtId="1" fontId="5" fillId="5" borderId="15" xfId="0" applyNumberFormat="1" applyFont="1" applyFill="1" applyBorder="1" applyAlignment="1">
      <alignment horizontal="center" vertical="center"/>
    </xf>
    <xf numFmtId="1" fontId="5" fillId="5" borderId="21" xfId="0" applyNumberFormat="1" applyFont="1" applyFill="1" applyBorder="1" applyAlignment="1">
      <alignment horizontal="center" vertical="center"/>
    </xf>
    <xf numFmtId="1" fontId="6" fillId="4" borderId="2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6" fillId="4" borderId="15" xfId="0" applyNumberFormat="1" applyFont="1" applyFill="1" applyBorder="1" applyAlignment="1">
      <alignment horizontal="center" vertical="center"/>
    </xf>
    <xf numFmtId="1" fontId="6" fillId="5" borderId="21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" fontId="6" fillId="5" borderId="15" xfId="0" applyNumberFormat="1" applyFont="1" applyFill="1" applyBorder="1" applyAlignment="1">
      <alignment horizontal="center" vertical="center"/>
    </xf>
    <xf numFmtId="1" fontId="6" fillId="5" borderId="22" xfId="0" applyNumberFormat="1" applyFont="1" applyFill="1" applyBorder="1" applyAlignment="1">
      <alignment horizontal="center" vertical="center"/>
    </xf>
    <xf numFmtId="1" fontId="6" fillId="5" borderId="23" xfId="0" applyNumberFormat="1" applyFont="1" applyFill="1" applyBorder="1" applyAlignment="1">
      <alignment horizontal="center" vertical="center"/>
    </xf>
    <xf numFmtId="1" fontId="6" fillId="5" borderId="24" xfId="0" applyNumberFormat="1" applyFont="1" applyFill="1" applyBorder="1" applyAlignment="1">
      <alignment horizontal="center" vertical="center"/>
    </xf>
    <xf numFmtId="1" fontId="7" fillId="2" borderId="5" xfId="0" applyNumberFormat="1" applyFont="1" applyFill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6" fontId="0" fillId="0" borderId="18" xfId="0" applyNumberFormat="1" applyBorder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" fontId="5" fillId="0" borderId="21" xfId="0" applyNumberFormat="1" applyFont="1" applyBorder="1" applyAlignment="1">
      <alignment horizontal="center" vertical="center" wrapText="1"/>
    </xf>
    <xf numFmtId="14" fontId="5" fillId="4" borderId="19" xfId="0" applyNumberFormat="1" applyFont="1" applyFill="1" applyBorder="1" applyAlignment="1">
      <alignment horizontal="center" vertical="center"/>
    </xf>
    <xf numFmtId="14" fontId="5" fillId="5" borderId="19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/>
    </xf>
    <xf numFmtId="14" fontId="5" fillId="6" borderId="19" xfId="0" applyNumberFormat="1" applyFont="1" applyFill="1" applyBorder="1" applyAlignment="1">
      <alignment horizontal="center" vertical="center"/>
    </xf>
    <xf numFmtId="1" fontId="9" fillId="6" borderId="0" xfId="0" applyNumberFormat="1" applyFont="1" applyFill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1" fontId="5" fillId="6" borderId="15" xfId="0" applyNumberFormat="1" applyFont="1" applyFill="1" applyBorder="1" applyAlignment="1">
      <alignment horizontal="center" vertical="center"/>
    </xf>
    <xf numFmtId="1" fontId="5" fillId="6" borderId="21" xfId="0" applyNumberFormat="1" applyFont="1" applyFill="1" applyBorder="1" applyAlignment="1">
      <alignment horizontal="center" vertical="center" wrapText="1"/>
    </xf>
    <xf numFmtId="1" fontId="5" fillId="6" borderId="15" xfId="0" applyNumberFormat="1" applyFont="1" applyFill="1" applyBorder="1" applyAlignment="1">
      <alignment horizontal="center" vertical="center" wrapText="1"/>
    </xf>
    <xf numFmtId="1" fontId="6" fillId="6" borderId="21" xfId="0" applyNumberFormat="1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1" fontId="6" fillId="6" borderId="15" xfId="0" applyNumberFormat="1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4C25-B6F7-444C-8643-FB3C2642B2EB}">
  <dimension ref="A1:K37"/>
  <sheetViews>
    <sheetView tabSelected="1" workbookViewId="0">
      <selection activeCell="M5" sqref="M5"/>
    </sheetView>
  </sheetViews>
  <sheetFormatPr defaultRowHeight="15" x14ac:dyDescent="0.25"/>
  <cols>
    <col min="1" max="1" width="12.28515625" style="13" customWidth="1"/>
    <col min="2" max="2" width="13.5703125" style="13" bestFit="1" customWidth="1"/>
    <col min="3" max="3" width="11.85546875" style="13" customWidth="1"/>
    <col min="4" max="4" width="13.140625" style="13" customWidth="1"/>
    <col min="5" max="5" width="12.7109375" style="13" customWidth="1"/>
    <col min="6" max="6" width="12.42578125" style="13" customWidth="1"/>
    <col min="7" max="7" width="12.140625" style="13" customWidth="1"/>
    <col min="8" max="8" width="13.140625" style="13" customWidth="1"/>
    <col min="9" max="9" width="11.28515625" style="13" customWidth="1"/>
    <col min="10" max="10" width="12.42578125" style="13" customWidth="1"/>
    <col min="11" max="11" width="13" style="13" customWidth="1"/>
    <col min="12" max="16384" width="9.140625" style="13"/>
  </cols>
  <sheetData>
    <row r="1" spans="1:11" ht="24.75" thickBot="1" x14ac:dyDescent="0.3">
      <c r="A1" s="1" t="s">
        <v>11</v>
      </c>
      <c r="B1" s="2" t="s">
        <v>13</v>
      </c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48">
        <v>45901</v>
      </c>
      <c r="B2" s="15">
        <v>1305</v>
      </c>
      <c r="C2" s="16">
        <v>2610</v>
      </c>
      <c r="D2" s="16">
        <v>4010</v>
      </c>
      <c r="E2" s="16">
        <v>2390</v>
      </c>
      <c r="F2" s="16">
        <v>2520</v>
      </c>
      <c r="G2" s="16">
        <v>2540</v>
      </c>
      <c r="H2" s="16">
        <v>1505</v>
      </c>
      <c r="I2" s="16">
        <v>5030</v>
      </c>
      <c r="J2" s="16">
        <v>6020</v>
      </c>
      <c r="K2" s="17"/>
    </row>
    <row r="3" spans="1:11" ht="16.5" thickBot="1" x14ac:dyDescent="0.3">
      <c r="A3" s="49">
        <v>45902</v>
      </c>
      <c r="B3" s="47">
        <v>1290</v>
      </c>
      <c r="C3" s="18">
        <v>2600</v>
      </c>
      <c r="D3" s="18">
        <v>4000</v>
      </c>
      <c r="E3" s="18">
        <v>2345</v>
      </c>
      <c r="F3" s="61">
        <v>0</v>
      </c>
      <c r="G3" s="61">
        <v>0</v>
      </c>
      <c r="H3" s="18">
        <v>0</v>
      </c>
      <c r="I3" s="61">
        <v>0</v>
      </c>
      <c r="J3" s="61">
        <v>0</v>
      </c>
      <c r="K3" s="19"/>
    </row>
    <row r="4" spans="1:11" ht="16.5" thickBot="1" x14ac:dyDescent="0.3">
      <c r="A4" s="48">
        <v>45903</v>
      </c>
      <c r="B4" s="23">
        <v>1305</v>
      </c>
      <c r="C4" s="20">
        <v>2590</v>
      </c>
      <c r="D4" s="20">
        <v>4040</v>
      </c>
      <c r="E4" s="20">
        <v>2360</v>
      </c>
      <c r="F4" s="20">
        <v>2515</v>
      </c>
      <c r="G4" s="20">
        <v>2515</v>
      </c>
      <c r="H4" s="20">
        <v>1520</v>
      </c>
      <c r="I4" s="20">
        <v>5020</v>
      </c>
      <c r="J4" s="20">
        <v>6010</v>
      </c>
      <c r="K4" s="21"/>
    </row>
    <row r="5" spans="1:11" ht="16.5" thickBot="1" x14ac:dyDescent="0.3">
      <c r="A5" s="49">
        <v>45905</v>
      </c>
      <c r="B5" s="22">
        <v>1290</v>
      </c>
      <c r="C5" s="18">
        <v>2595</v>
      </c>
      <c r="D5" s="18">
        <v>4030</v>
      </c>
      <c r="E5" s="18">
        <v>2360</v>
      </c>
      <c r="F5" s="18">
        <v>2530</v>
      </c>
      <c r="G5" s="18">
        <v>2520</v>
      </c>
      <c r="H5" s="18">
        <v>1525</v>
      </c>
      <c r="I5" s="18">
        <v>5005</v>
      </c>
      <c r="J5" s="18">
        <v>6030</v>
      </c>
      <c r="K5" s="19"/>
    </row>
    <row r="6" spans="1:11" ht="16.5" thickBot="1" x14ac:dyDescent="0.3">
      <c r="A6" s="48">
        <v>45908</v>
      </c>
      <c r="B6" s="47">
        <v>1300</v>
      </c>
      <c r="C6" s="20">
        <v>2590</v>
      </c>
      <c r="D6" s="20">
        <v>4030</v>
      </c>
      <c r="E6" s="20">
        <v>2370</v>
      </c>
      <c r="F6" s="20">
        <v>2525</v>
      </c>
      <c r="G6" s="20">
        <v>2515</v>
      </c>
      <c r="H6" s="20">
        <v>1530</v>
      </c>
      <c r="I6" s="20">
        <v>5015</v>
      </c>
      <c r="J6" s="20">
        <v>6040</v>
      </c>
      <c r="K6" s="21"/>
    </row>
    <row r="7" spans="1:11" ht="16.5" thickBot="1" x14ac:dyDescent="0.3">
      <c r="A7" s="51">
        <v>45909</v>
      </c>
      <c r="B7" s="55">
        <v>1310</v>
      </c>
      <c r="C7" s="53">
        <f>2605+810</f>
        <v>3415</v>
      </c>
      <c r="D7" s="53">
        <f>4020+590</f>
        <v>4610</v>
      </c>
      <c r="E7" s="53">
        <f>2350+820</f>
        <v>3170</v>
      </c>
      <c r="F7" s="61">
        <v>0</v>
      </c>
      <c r="G7" s="53">
        <v>650</v>
      </c>
      <c r="H7" s="61">
        <v>0</v>
      </c>
      <c r="I7" s="61">
        <v>0</v>
      </c>
      <c r="J7" s="53">
        <v>2780</v>
      </c>
      <c r="K7" s="56"/>
    </row>
    <row r="8" spans="1:11" ht="16.5" thickBot="1" x14ac:dyDescent="0.3">
      <c r="A8" s="49">
        <v>45910</v>
      </c>
      <c r="B8" s="25">
        <v>1290</v>
      </c>
      <c r="C8" s="20">
        <v>2610</v>
      </c>
      <c r="D8" s="20">
        <v>4040</v>
      </c>
      <c r="E8" s="20">
        <v>2380</v>
      </c>
      <c r="F8" s="20">
        <v>2505</v>
      </c>
      <c r="G8" s="20">
        <v>2510</v>
      </c>
      <c r="H8" s="20">
        <v>1510</v>
      </c>
      <c r="I8" s="20">
        <v>5010</v>
      </c>
      <c r="J8" s="20">
        <v>6020</v>
      </c>
      <c r="K8" s="26"/>
    </row>
    <row r="9" spans="1:11" ht="16.5" thickBot="1" x14ac:dyDescent="0.3">
      <c r="A9" s="48">
        <v>45912</v>
      </c>
      <c r="B9" s="14">
        <v>1300</v>
      </c>
      <c r="C9" s="24">
        <v>2600</v>
      </c>
      <c r="D9" s="24">
        <v>4010</v>
      </c>
      <c r="E9" s="24">
        <v>2375</v>
      </c>
      <c r="F9" s="24">
        <v>2515</v>
      </c>
      <c r="G9" s="24">
        <v>2520</v>
      </c>
      <c r="H9" s="24">
        <v>1520</v>
      </c>
      <c r="I9" s="24">
        <v>5020</v>
      </c>
      <c r="J9" s="24">
        <v>6010</v>
      </c>
      <c r="K9" s="27"/>
    </row>
    <row r="10" spans="1:11" ht="16.5" thickBot="1" x14ac:dyDescent="0.3">
      <c r="A10" s="49">
        <v>45915</v>
      </c>
      <c r="B10" s="14">
        <v>1285</v>
      </c>
      <c r="C10" s="20">
        <v>2590</v>
      </c>
      <c r="D10" s="20">
        <v>4015</v>
      </c>
      <c r="E10" s="20">
        <v>2360</v>
      </c>
      <c r="F10" s="20">
        <v>2510</v>
      </c>
      <c r="G10" s="20">
        <v>2510</v>
      </c>
      <c r="H10" s="20">
        <v>1505</v>
      </c>
      <c r="I10" s="20">
        <v>5015</v>
      </c>
      <c r="J10" s="20">
        <v>6015</v>
      </c>
      <c r="K10" s="26"/>
    </row>
    <row r="11" spans="1:11" ht="16.5" thickBot="1" x14ac:dyDescent="0.3">
      <c r="A11" s="51">
        <v>45916</v>
      </c>
      <c r="B11" s="52">
        <v>1290</v>
      </c>
      <c r="C11" s="53">
        <f>2590+850</f>
        <v>3440</v>
      </c>
      <c r="D11" s="53">
        <f>4020+1930</f>
        <v>5950</v>
      </c>
      <c r="E11" s="53">
        <f>2340+950</f>
        <v>3290</v>
      </c>
      <c r="F11" s="53">
        <v>720</v>
      </c>
      <c r="G11" s="61">
        <v>0</v>
      </c>
      <c r="H11" s="61">
        <v>0</v>
      </c>
      <c r="I11" s="61">
        <v>0</v>
      </c>
      <c r="J11" s="53">
        <v>3680</v>
      </c>
      <c r="K11" s="54"/>
    </row>
    <row r="12" spans="1:11" ht="16.5" thickBot="1" x14ac:dyDescent="0.3">
      <c r="A12" s="48">
        <v>45917</v>
      </c>
      <c r="B12" s="28">
        <v>1290</v>
      </c>
      <c r="C12" s="20">
        <v>2570</v>
      </c>
      <c r="D12" s="20">
        <v>4010</v>
      </c>
      <c r="E12" s="20">
        <v>2320</v>
      </c>
      <c r="F12" s="20">
        <v>2515</v>
      </c>
      <c r="G12" s="20">
        <v>2515</v>
      </c>
      <c r="H12" s="20">
        <v>1280</v>
      </c>
      <c r="I12" s="20">
        <v>5010</v>
      </c>
      <c r="J12" s="20">
        <v>6005</v>
      </c>
      <c r="K12" s="26"/>
    </row>
    <row r="13" spans="1:11" ht="16.5" thickBot="1" x14ac:dyDescent="0.3">
      <c r="A13" s="49">
        <v>45918</v>
      </c>
      <c r="B13" s="28">
        <v>1305</v>
      </c>
      <c r="C13" s="24">
        <v>2580</v>
      </c>
      <c r="D13" s="24">
        <v>4015</v>
      </c>
      <c r="E13" s="24">
        <v>2350</v>
      </c>
      <c r="F13" s="24">
        <v>2510</v>
      </c>
      <c r="G13" s="24">
        <v>2520</v>
      </c>
      <c r="H13" s="24">
        <v>1270</v>
      </c>
      <c r="I13" s="24">
        <v>5020</v>
      </c>
      <c r="J13" s="24">
        <v>6010</v>
      </c>
      <c r="K13" s="27"/>
    </row>
    <row r="14" spans="1:11" ht="16.5" thickBot="1" x14ac:dyDescent="0.3">
      <c r="A14" s="49">
        <v>45922</v>
      </c>
      <c r="B14" s="14">
        <v>1300</v>
      </c>
      <c r="C14" s="20">
        <v>2590</v>
      </c>
      <c r="D14" s="20">
        <v>4020</v>
      </c>
      <c r="E14" s="20">
        <v>2370</v>
      </c>
      <c r="F14" s="20">
        <v>2510</v>
      </c>
      <c r="G14" s="20">
        <v>2520</v>
      </c>
      <c r="H14" s="20">
        <v>1190</v>
      </c>
      <c r="I14" s="20">
        <v>5015</v>
      </c>
      <c r="J14" s="20">
        <v>6020</v>
      </c>
      <c r="K14" s="26"/>
    </row>
    <row r="15" spans="1:11" ht="16.5" thickBot="1" x14ac:dyDescent="0.3">
      <c r="A15" s="48">
        <v>45923</v>
      </c>
      <c r="B15" s="28">
        <v>1290</v>
      </c>
      <c r="C15" s="24">
        <v>2585</v>
      </c>
      <c r="D15" s="24">
        <v>4010</v>
      </c>
      <c r="E15" s="24">
        <v>2360</v>
      </c>
      <c r="F15" s="24">
        <v>1105</v>
      </c>
      <c r="G15" s="24">
        <v>720</v>
      </c>
      <c r="H15" s="61">
        <v>0</v>
      </c>
      <c r="I15" s="61">
        <v>0</v>
      </c>
      <c r="J15" s="61">
        <v>0</v>
      </c>
      <c r="K15" s="27"/>
    </row>
    <row r="16" spans="1:11" ht="16.5" thickBot="1" x14ac:dyDescent="0.3">
      <c r="A16" s="49">
        <v>45924</v>
      </c>
      <c r="B16" s="29">
        <v>1300</v>
      </c>
      <c r="C16" s="30">
        <v>2590</v>
      </c>
      <c r="D16" s="30">
        <v>4020</v>
      </c>
      <c r="E16" s="30">
        <v>2380</v>
      </c>
      <c r="F16" s="30">
        <v>2520</v>
      </c>
      <c r="G16" s="30">
        <v>2510</v>
      </c>
      <c r="H16" s="30">
        <v>1180</v>
      </c>
      <c r="I16" s="30">
        <v>5020</v>
      </c>
      <c r="J16" s="30">
        <v>6020</v>
      </c>
      <c r="K16" s="31"/>
    </row>
    <row r="17" spans="1:11" ht="16.5" thickBot="1" x14ac:dyDescent="0.3">
      <c r="A17" s="48">
        <v>45926</v>
      </c>
      <c r="B17" s="32">
        <v>1295</v>
      </c>
      <c r="C17" s="33">
        <v>2590</v>
      </c>
      <c r="D17" s="33">
        <v>4010</v>
      </c>
      <c r="E17" s="33">
        <v>2370</v>
      </c>
      <c r="F17" s="33">
        <v>2515</v>
      </c>
      <c r="G17" s="33">
        <v>2520</v>
      </c>
      <c r="H17" s="33">
        <v>1160</v>
      </c>
      <c r="I17" s="33">
        <v>5010</v>
      </c>
      <c r="J17" s="33">
        <v>6010</v>
      </c>
      <c r="K17" s="34"/>
    </row>
    <row r="18" spans="1:11" ht="16.5" thickBot="1" x14ac:dyDescent="0.3">
      <c r="A18" s="48">
        <v>45928</v>
      </c>
      <c r="B18" s="29">
        <v>1305</v>
      </c>
      <c r="C18" s="30">
        <v>2600</v>
      </c>
      <c r="D18" s="30">
        <v>4015</v>
      </c>
      <c r="E18" s="30">
        <v>2375</v>
      </c>
      <c r="F18" s="30">
        <v>2520</v>
      </c>
      <c r="G18" s="30">
        <v>2510</v>
      </c>
      <c r="H18" s="30">
        <v>1170</v>
      </c>
      <c r="I18" s="30">
        <v>5015</v>
      </c>
      <c r="J18" s="30">
        <v>6020</v>
      </c>
      <c r="K18" s="31">
        <v>184</v>
      </c>
    </row>
    <row r="19" spans="1:11" ht="16.5" thickBot="1" x14ac:dyDescent="0.3">
      <c r="A19" s="49">
        <v>45930</v>
      </c>
      <c r="B19" s="32">
        <v>1290</v>
      </c>
      <c r="C19" s="33">
        <v>2605</v>
      </c>
      <c r="D19" s="33">
        <v>4010</v>
      </c>
      <c r="E19" s="33">
        <v>2390</v>
      </c>
      <c r="F19" s="60">
        <v>0</v>
      </c>
      <c r="G19" s="60">
        <v>0</v>
      </c>
      <c r="H19" s="60">
        <v>0</v>
      </c>
      <c r="I19" s="60">
        <v>0</v>
      </c>
      <c r="J19" s="60">
        <v>0</v>
      </c>
      <c r="K19" s="34"/>
    </row>
    <row r="20" spans="1:11" ht="16.5" thickBot="1" x14ac:dyDescent="0.3">
      <c r="A20" s="51">
        <v>45904</v>
      </c>
      <c r="B20" s="57">
        <v>605</v>
      </c>
      <c r="C20" s="58">
        <v>840</v>
      </c>
      <c r="D20" s="58">
        <v>1105</v>
      </c>
      <c r="E20" s="58">
        <v>905</v>
      </c>
      <c r="F20" s="58">
        <v>850</v>
      </c>
      <c r="G20" s="58">
        <v>835</v>
      </c>
      <c r="H20" s="58">
        <v>590</v>
      </c>
      <c r="I20" s="58">
        <v>1310</v>
      </c>
      <c r="J20" s="58">
        <v>1620</v>
      </c>
      <c r="K20" s="59">
        <f>2720+3540</f>
        <v>6260</v>
      </c>
    </row>
    <row r="21" spans="1:11" ht="16.5" thickBot="1" x14ac:dyDescent="0.3">
      <c r="A21" s="51">
        <v>45911</v>
      </c>
      <c r="B21" s="57">
        <v>580</v>
      </c>
      <c r="C21" s="58">
        <v>820</v>
      </c>
      <c r="D21" s="58">
        <v>1060</v>
      </c>
      <c r="E21" s="58">
        <v>860</v>
      </c>
      <c r="F21" s="58">
        <v>810</v>
      </c>
      <c r="G21" s="58">
        <v>805</v>
      </c>
      <c r="H21" s="58">
        <v>560</v>
      </c>
      <c r="I21" s="58">
        <v>1280</v>
      </c>
      <c r="J21" s="58">
        <v>1560</v>
      </c>
      <c r="K21" s="59">
        <f>2680+3500</f>
        <v>6180</v>
      </c>
    </row>
    <row r="22" spans="1:11" ht="16.5" thickBot="1" x14ac:dyDescent="0.3">
      <c r="A22" s="51">
        <v>45918</v>
      </c>
      <c r="B22" s="57">
        <v>590</v>
      </c>
      <c r="C22" s="58">
        <v>825</v>
      </c>
      <c r="D22" s="58">
        <v>1040</v>
      </c>
      <c r="E22" s="58">
        <v>870</v>
      </c>
      <c r="F22" s="58">
        <v>815</v>
      </c>
      <c r="G22" s="58">
        <v>810</v>
      </c>
      <c r="H22" s="58">
        <v>570</v>
      </c>
      <c r="I22" s="58">
        <v>1300</v>
      </c>
      <c r="J22" s="58">
        <v>1580</v>
      </c>
      <c r="K22" s="59">
        <f>2710+3510</f>
        <v>6220</v>
      </c>
    </row>
    <row r="23" spans="1:11" ht="16.5" thickBot="1" x14ac:dyDescent="0.3">
      <c r="A23" s="51">
        <v>45925</v>
      </c>
      <c r="B23" s="57">
        <v>505</v>
      </c>
      <c r="C23" s="58">
        <v>830</v>
      </c>
      <c r="D23" s="58">
        <v>1045</v>
      </c>
      <c r="E23" s="58">
        <v>890</v>
      </c>
      <c r="F23" s="58">
        <v>830</v>
      </c>
      <c r="G23" s="58">
        <v>810</v>
      </c>
      <c r="H23" s="58">
        <v>580</v>
      </c>
      <c r="I23" s="58">
        <v>1300</v>
      </c>
      <c r="J23" s="58">
        <v>1605</v>
      </c>
      <c r="K23" s="59">
        <f>2690+3530</f>
        <v>6220</v>
      </c>
    </row>
    <row r="24" spans="1:11" ht="16.5" thickBot="1" x14ac:dyDescent="0.3">
      <c r="A24" s="48"/>
      <c r="B24" s="29"/>
      <c r="C24" s="30"/>
      <c r="D24" s="30"/>
      <c r="E24" s="30"/>
      <c r="F24" s="30"/>
      <c r="G24" s="30"/>
      <c r="H24" s="30"/>
      <c r="I24" s="30"/>
      <c r="J24" s="30"/>
      <c r="K24" s="31"/>
    </row>
    <row r="25" spans="1:11" ht="16.5" thickBot="1" x14ac:dyDescent="0.3">
      <c r="A25" s="49"/>
      <c r="B25" s="32"/>
      <c r="C25" s="33"/>
      <c r="D25" s="33"/>
      <c r="E25" s="33"/>
      <c r="F25" s="33"/>
      <c r="G25" s="33"/>
      <c r="H25" s="33"/>
      <c r="I25" s="33"/>
      <c r="J25" s="33"/>
      <c r="K25" s="34"/>
    </row>
    <row r="26" spans="1:11" ht="16.5" thickBot="1" x14ac:dyDescent="0.3">
      <c r="A26" s="48"/>
      <c r="B26" s="29"/>
      <c r="C26" s="30"/>
      <c r="D26" s="30"/>
      <c r="E26" s="30"/>
      <c r="F26" s="30"/>
      <c r="G26" s="30"/>
      <c r="H26" s="30"/>
      <c r="I26" s="30"/>
      <c r="J26" s="30"/>
      <c r="K26" s="31"/>
    </row>
    <row r="27" spans="1:11" ht="16.5" thickBot="1" x14ac:dyDescent="0.3">
      <c r="A27" s="48"/>
      <c r="B27" s="35"/>
      <c r="C27" s="36"/>
      <c r="D27" s="36"/>
      <c r="E27" s="36"/>
      <c r="F27" s="36"/>
      <c r="G27" s="36"/>
      <c r="H27" s="36"/>
      <c r="I27" s="36"/>
      <c r="J27" s="36"/>
      <c r="K27" s="37"/>
    </row>
    <row r="28" spans="1:11" ht="16.5" thickBot="1" x14ac:dyDescent="0.3">
      <c r="A28" s="49"/>
      <c r="B28" s="32"/>
      <c r="C28" s="33"/>
      <c r="D28" s="33"/>
      <c r="E28" s="33"/>
      <c r="F28" s="33"/>
      <c r="G28" s="33"/>
      <c r="H28" s="33"/>
      <c r="I28" s="33"/>
      <c r="J28" s="33"/>
      <c r="K28" s="33"/>
    </row>
    <row r="29" spans="1:11" ht="16.5" thickBot="1" x14ac:dyDescent="0.3">
      <c r="A29" s="48"/>
      <c r="B29" s="32"/>
      <c r="C29" s="33"/>
      <c r="D29" s="33"/>
      <c r="E29" s="33"/>
      <c r="F29" s="33"/>
      <c r="G29" s="33"/>
      <c r="H29" s="33"/>
      <c r="I29" s="33"/>
      <c r="J29" s="33"/>
      <c r="K29" s="33"/>
    </row>
    <row r="30" spans="1:11" ht="16.5" thickBot="1" x14ac:dyDescent="0.3">
      <c r="A30" s="49"/>
      <c r="B30" s="32"/>
      <c r="C30" s="33"/>
      <c r="D30" s="33"/>
      <c r="E30" s="33"/>
      <c r="F30" s="33"/>
      <c r="G30" s="33"/>
      <c r="H30" s="33"/>
      <c r="I30" s="33"/>
      <c r="J30" s="33"/>
      <c r="K30" s="33"/>
    </row>
    <row r="31" spans="1:11" ht="16.5" thickBot="1" x14ac:dyDescent="0.3">
      <c r="A31" s="50"/>
      <c r="B31" s="32"/>
      <c r="C31" s="33"/>
      <c r="D31" s="33"/>
      <c r="E31" s="33"/>
      <c r="F31" s="33"/>
      <c r="G31" s="33"/>
      <c r="H31" s="33"/>
      <c r="I31" s="33"/>
      <c r="J31" s="33"/>
      <c r="K31" s="33"/>
    </row>
    <row r="32" spans="1:11" ht="19.5" thickBot="1" x14ac:dyDescent="0.3">
      <c r="A32" s="9"/>
      <c r="B32" s="38">
        <f>SUM(B2:B31)</f>
        <v>25620</v>
      </c>
      <c r="C32" s="38">
        <f>SUM(C2:C31)</f>
        <v>51665</v>
      </c>
      <c r="D32" s="38">
        <f>SUM(D2:D31)</f>
        <v>79095</v>
      </c>
      <c r="E32" s="38">
        <f>SUM(E2:E31)</f>
        <v>47840</v>
      </c>
      <c r="F32" s="38">
        <f>SUM(F2:F31)</f>
        <v>37840</v>
      </c>
      <c r="G32" s="38">
        <f>SUM(G2:G31)</f>
        <v>37355</v>
      </c>
      <c r="H32" s="38">
        <f>SUM(H2:H31)</f>
        <v>20165</v>
      </c>
      <c r="I32" s="38">
        <f>SUM(I2:I31)</f>
        <v>70395</v>
      </c>
      <c r="J32" s="38">
        <f>SUM(J2:J31)</f>
        <v>91055</v>
      </c>
      <c r="K32" s="38">
        <f>SUM(K4:K31)</f>
        <v>25064</v>
      </c>
    </row>
    <row r="33" spans="1:11" ht="15.75" thickBot="1" x14ac:dyDescent="0.3">
      <c r="A33" s="9"/>
      <c r="B33" s="3" t="s">
        <v>0</v>
      </c>
      <c r="C33" s="4" t="s">
        <v>1</v>
      </c>
      <c r="D33" s="3" t="s">
        <v>2</v>
      </c>
      <c r="E33" s="3" t="s">
        <v>12</v>
      </c>
      <c r="F33" s="5" t="s">
        <v>3</v>
      </c>
      <c r="G33" s="3" t="s">
        <v>4</v>
      </c>
      <c r="H33" s="5" t="s">
        <v>5</v>
      </c>
      <c r="I33" s="3" t="s">
        <v>6</v>
      </c>
      <c r="J33" s="5" t="s">
        <v>7</v>
      </c>
      <c r="K33" s="3" t="s">
        <v>14</v>
      </c>
    </row>
    <row r="34" spans="1:11" ht="15.75" thickBot="1" x14ac:dyDescent="0.3"/>
    <row r="35" spans="1:11" ht="18.75" x14ac:dyDescent="0.25">
      <c r="B35" s="10" t="s">
        <v>8</v>
      </c>
      <c r="C35" s="11"/>
      <c r="D35" s="11"/>
      <c r="E35" s="11"/>
      <c r="F35" s="10" t="s">
        <v>9</v>
      </c>
      <c r="G35" s="11"/>
      <c r="H35" s="10" t="s">
        <v>10</v>
      </c>
      <c r="I35" s="11"/>
      <c r="J35" s="12"/>
      <c r="K35" s="6" t="s">
        <v>15</v>
      </c>
    </row>
    <row r="36" spans="1:11" x14ac:dyDescent="0.25">
      <c r="B36" s="39">
        <f>B32+C32+D32+E32</f>
        <v>204220</v>
      </c>
      <c r="C36" s="40"/>
      <c r="D36" s="40"/>
      <c r="E36" s="40"/>
      <c r="F36" s="39">
        <f>F32+G32</f>
        <v>75195</v>
      </c>
      <c r="G36" s="41"/>
      <c r="H36" s="40">
        <f>H32+I32+J32+K32</f>
        <v>206679</v>
      </c>
      <c r="I36" s="40"/>
      <c r="J36" s="41"/>
      <c r="K36" s="42">
        <f>B36+F36+H36</f>
        <v>486094</v>
      </c>
    </row>
    <row r="37" spans="1:11" ht="15.75" thickBot="1" x14ac:dyDescent="0.3">
      <c r="B37" s="43"/>
      <c r="C37" s="44"/>
      <c r="D37" s="44"/>
      <c r="E37" s="44"/>
      <c r="F37" s="43"/>
      <c r="G37" s="45"/>
      <c r="H37" s="44"/>
      <c r="I37" s="44"/>
      <c r="J37" s="45"/>
      <c r="K37" s="46"/>
    </row>
  </sheetData>
  <mergeCells count="8">
    <mergeCell ref="K36:K37"/>
    <mergeCell ref="B35:E35"/>
    <mergeCell ref="F35:G35"/>
    <mergeCell ref="H35:J35"/>
    <mergeCell ref="B36:E37"/>
    <mergeCell ref="F36:G37"/>
    <mergeCell ref="H36:J37"/>
    <mergeCell ref="B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SETEMBRO - 2025 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- Educação</dc:creator>
  <cp:lastModifiedBy>Você</cp:lastModifiedBy>
  <cp:lastPrinted>2025-03-12T13:33:19Z</cp:lastPrinted>
  <dcterms:created xsi:type="dcterms:W3CDTF">2023-04-18T10:25:24Z</dcterms:created>
  <dcterms:modified xsi:type="dcterms:W3CDTF">2025-10-02T18:42:27Z</dcterms:modified>
</cp:coreProperties>
</file>